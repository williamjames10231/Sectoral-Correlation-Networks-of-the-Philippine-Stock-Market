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data gathering" sheetId="1" state="hidden" r:id="rId3"/>
    <sheet name="non data gathering" sheetId="2" state="visible" r:id="rId4"/>
    <sheet name="Data Gathering and ec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<sst xmlns="http://schemas.openxmlformats.org/spreadsheetml/2006/main" count="468" uniqueCount="78">
  <si>
    <t xml:space="preserve">Property</t>
  </si>
  <si>
    <t xml:space="preserve">Mining &amp; Oil</t>
  </si>
  <si>
    <t xml:space="preserve">Financials</t>
  </si>
  <si>
    <t xml:space="preserve">Specifications</t>
  </si>
  <si>
    <t xml:space="preserve">name:</t>
  </si>
  <si>
    <t xml:space="preserve">PSE Property Index</t>
  </si>
  <si>
    <t xml:space="preserve">PSE Mining &amp; Oil Index</t>
  </si>
  <si>
    <t xml:space="preserve">PSE Financials Index</t>
  </si>
  <si>
    <t xml:space="preserve">intervals:</t>
  </si>
  <si>
    <t xml:space="preserve">weekly</t>
  </si>
  <si>
    <t xml:space="preserve">batch:</t>
  </si>
  <si>
    <t xml:space="preserve">first</t>
  </si>
  <si>
    <t xml:space="preserve">second</t>
  </si>
  <si>
    <t xml:space="preserve">start:</t>
  </si>
  <si>
    <t xml:space="preserve">end:</t>
  </si>
  <si>
    <t xml:space="preserve">hyperlink:</t>
  </si>
  <si>
    <t xml:space="preserve">https://www.tradingview.com/chart/CRSXnWRx/?symbol=PSE%3APRO</t>
  </si>
  <si>
    <t xml:space="preserve">https://www.tradingview.com/chart/CRSXnWRx/?symbol=PH+MINING+AND+OIL</t>
  </si>
  <si>
    <t xml:space="preserve">https://www.tradingview.com/chart/CRSXnWRx/?symbol=PSE%3AFIN</t>
  </si>
  <si>
    <t xml:space="preserve">Batch 1</t>
  </si>
  <si>
    <t xml:space="preserve">Batch 2</t>
  </si>
  <si>
    <t xml:space="preserve">Dates</t>
  </si>
  <si>
    <t xml:space="preserve">closing prices</t>
  </si>
  <si>
    <t xml:space="preserve">Closing Prices</t>
  </si>
  <si>
    <t xml:space="preserve">Holding Firms</t>
  </si>
  <si>
    <t xml:space="preserve">Industrial</t>
  </si>
  <si>
    <t xml:space="preserve">Services</t>
  </si>
  <si>
    <t xml:space="preserve">PSE Holding Firms Index</t>
  </si>
  <si>
    <t xml:space="preserve">PSE Industrial Index</t>
  </si>
  <si>
    <t xml:space="preserve">PSE Services Index</t>
  </si>
  <si>
    <t xml:space="preserve">https://www.tradingview.com/chart/CRSXnWRx/?symbol=PSE%3AHDG</t>
  </si>
  <si>
    <t xml:space="preserve"> https://www.tradingview.com/chart/CRSXnWRx/?symbol=PSE%3AIND</t>
  </si>
  <si>
    <t xml:space="preserve">https://www.tradingview.com/chart/?symbol=PSE%3ASVC</t>
  </si>
  <si>
    <t xml:space="preserve">Correlation Matrix First Batch</t>
  </si>
  <si>
    <t xml:space="preserve">batch a edges rankings highest to lowest correlation</t>
  </si>
  <si>
    <t xml:space="preserve">batch b edges rankings highest to lowest correlation</t>
  </si>
  <si>
    <t xml:space="preserve">Correlation Coefficient</t>
  </si>
  <si>
    <t xml:space="preserve">numerator</t>
  </si>
  <si>
    <t xml:space="preserve">a</t>
  </si>
  <si>
    <t xml:space="preserve">b</t>
  </si>
  <si>
    <t xml:space="preserve">denominator</t>
  </si>
  <si>
    <t xml:space="preserve">p</t>
  </si>
  <si>
    <t xml:space="preserve">Mining &amp; oil</t>
  </si>
  <si>
    <t xml:space="preserve">Pairs or Edge</t>
  </si>
  <si>
    <t xml:space="preserve">Pairs</t>
  </si>
  <si>
    <t xml:space="preserve">Y_i</t>
  </si>
  <si>
    <t xml:space="preserve">Y_j</t>
  </si>
  <si>
    <t xml:space="preserve">Y_i * Y_j</t>
  </si>
  <si>
    <t xml:space="preserve">sumate Y_i</t>
  </si>
  <si>
    <t xml:space="preserve">sumate Y_j</t>
  </si>
  <si>
    <t xml:space="preserve">sumate Y_i * Y_j</t>
  </si>
  <si>
    <t xml:space="preserve">sumate Y_i * sumate Y_j</t>
  </si>
  <si>
    <t xml:space="preserve">n</t>
  </si>
  <si>
    <t xml:space="preserve">sumate (Y_i^2)</t>
  </si>
  <si>
    <t xml:space="preserve">sumate (Y_j ^2)</t>
  </si>
  <si>
    <t xml:space="preserve">n (sumate Y_i * Y_j)  - sumate Y_i * sumate Y_j</t>
  </si>
  <si>
    <t xml:space="preserve">n(sumate(Y_i^2)) - (sumate_Y_i)^2</t>
  </si>
  <si>
    <t xml:space="preserve">n(sumate(Y_j^2)) - (sumate_Y_j)^2</t>
  </si>
  <si>
    <t xml:space="preserve">sqrt(a * b)</t>
  </si>
  <si>
    <t xml:space="preserve">numerator / denominator</t>
  </si>
  <si>
    <t xml:space="preserve">ranking</t>
  </si>
  <si>
    <t xml:space="preserve">Correlation</t>
  </si>
  <si>
    <t xml:space="preserve">Correlation Matrix Second Batch</t>
  </si>
  <si>
    <t xml:space="preserve">Distance Matrix First Batch</t>
  </si>
  <si>
    <t xml:space="preserve">Distance delta stability ranking</t>
  </si>
  <si>
    <t xml:space="preserve">Batches</t>
  </si>
  <si>
    <t xml:space="preserve">Distance delta</t>
  </si>
  <si>
    <r>
      <rPr>
        <sz val="11"/>
        <color theme="1"/>
        <rFont val="Calibri"/>
        <family val="2"/>
        <charset val="1"/>
      </rPr>
      <t xml:space="preserve">1</t>
    </r>
    <r>
      <rPr>
        <vertAlign val="superscript"/>
        <sz val="11"/>
        <color theme="1"/>
        <rFont val="Calibri"/>
        <family val="2"/>
        <charset val="1"/>
      </rPr>
      <t xml:space="preserve">st</t>
    </r>
  </si>
  <si>
    <r>
      <rPr>
        <sz val="11"/>
        <color theme="1"/>
        <rFont val="Calibri"/>
        <family val="2"/>
        <charset val="1"/>
      </rPr>
      <t xml:space="preserve">2</t>
    </r>
    <r>
      <rPr>
        <vertAlign val="superscript"/>
        <sz val="11"/>
        <color theme="1"/>
        <rFont val="Calibri"/>
        <family val="2"/>
        <charset val="1"/>
      </rPr>
      <t xml:space="preserve">nd</t>
    </r>
  </si>
  <si>
    <t xml:space="preserve">2nd - 1st </t>
  </si>
  <si>
    <t xml:space="preserve">Distance Matrix Second Batch</t>
  </si>
  <si>
    <t xml:space="preserve">Correlation delta stability ranking</t>
  </si>
  <si>
    <t xml:space="preserve">Correlation delta</t>
  </si>
  <si>
    <t xml:space="preserve">log pt-1 </t>
  </si>
  <si>
    <t xml:space="preserve">logpt</t>
  </si>
  <si>
    <t xml:space="preserve">log pt - log pt-1</t>
  </si>
  <si>
    <t xml:space="preserve">log pt-1</t>
  </si>
  <si>
    <t xml:space="preserve">log pt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</si>
</sst>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#,##0.00"/>
    <numFmt numFmtId="167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4" tint="0.3999"/>
        <bgColor rgb="FF9DC3E6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3999"/>
        <bgColor rgb="FFF8CBAD"/>
      </patternFill>
    </fill>
    <fill>
      <patternFill patternType="solid">
        <fgColor theme="7" tint="0.3999"/>
        <bgColor rgb="FFF8CBAD"/>
      </patternFill>
    </fill>
    <fill>
      <patternFill patternType="solid">
        <fgColor theme="5" tint="0.5999"/>
        <bgColor rgb="FFF4B183"/>
      </patternFill>
    </fill>
    <fill>
      <patternFill patternType="solid">
        <fgColor theme="4"/>
        <bgColor rgb="FF0563C1"/>
      </patternFill>
    </fill>
    <fill>
      <patternFill patternType="solid">
        <fgColor theme="7"/>
        <bgColor rgb="FFFF9900"/>
      </patternFill>
    </fill>
    <fill>
      <patternFill patternType="solid">
        <fgColor theme="3"/>
        <bgColor rgb="FF333399"/>
      </patternFill>
    </fill>
    <fill>
      <patternFill patternType="solid">
        <fgColor theme="6" tint="0.3999"/>
        <bgColor rgb="FFD0CECE"/>
      </patternFill>
    </fill>
    <fill>
      <patternFill patternType="solid">
        <fgColor theme="2" tint="-0.25"/>
        <bgColor rgb="FF8FAADC"/>
      </patternFill>
    </fill>
    <fill>
      <patternFill patternType="solid">
        <fgColor theme="8" tint="0.3999"/>
        <bgColor rgb="FFB4C7E7"/>
      </patternFill>
    </fill>
    <fill>
      <patternFill patternType="solid">
        <fgColor theme="2" tint="-0.1"/>
        <bgColor rgb="FFC9C9C9"/>
      </patternFill>
    </fill>
    <fill>
      <patternFill patternType="solid">
        <fgColor theme="9" tint="0.3999"/>
        <bgColor rgb="FFC9C9C9"/>
      </patternFill>
    </fill>
    <fill>
      <patternFill patternType="solid">
        <fgColor rgb="FFFFFF38"/>
        <bgColor rgb="FFFFFF6D"/>
      </patternFill>
    </fill>
    <fill>
      <patternFill patternType="solid">
        <fgColor rgb="FFE6E905"/>
        <bgColor rgb="FFFFFF38"/>
      </patternFill>
    </fill>
    <fill>
      <patternFill patternType="solid">
        <fgColor rgb="FFFFFF6D"/>
        <bgColor rgb="FFFFFF38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FFE6E905"/>
          <bgColor rgb="FF000000"/>
        </patternFill>
      </fill>
    </dxf>
    <dxf>
      <fill>
        <patternFill patternType="solid">
          <fgColor rgb="FFFFFF6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8FAADC"/>
      <rgbColor rgb="FF993366"/>
      <rgbColor rgb="FFFFD966"/>
      <rgbColor rgb="FFA9D18E"/>
      <rgbColor rgb="FF660066"/>
      <rgbColor rgb="FFFF8080"/>
      <rgbColor rgb="FF0563C1"/>
      <rgbColor rgb="FFB4C7E7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D0CECE"/>
      <rgbColor rgb="FFFFFF6D"/>
      <rgbColor rgb="FF9DC3E6"/>
      <rgbColor rgb="FFF4B183"/>
      <rgbColor rgb="FFCC99FF"/>
      <rgbColor rgb="FFF8CBAD"/>
      <rgbColor rgb="FF4472C4"/>
      <rgbColor rgb="FF33CCCC"/>
      <rgbColor rgb="FF70AD47"/>
      <rgbColor rgb="FFFFC000"/>
      <rgbColor rgb="FFFF9900"/>
      <rgbColor rgb="FFED7D31"/>
      <rgbColor rgb="FF44546A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radingview.com/chart/CRSXnWRx/?symbol=PSE%3APRO" TargetMode="External"/><Relationship Id="rId2" Type="http://schemas.openxmlformats.org/officeDocument/2006/relationships/hyperlink" Target="https://www.tradingview.com/chart/CRSXnWRx/?symbol=PH+MINING+AND+OIL" TargetMode="External"/><Relationship Id="rId3" Type="http://schemas.openxmlformats.org/officeDocument/2006/relationships/hyperlink" Target="https://www.tradingview.com/chart/CRSXnWRx/?symbol=PSE%3AFIN" TargetMode="External"/><Relationship Id="rId4" Type="http://schemas.openxmlformats.org/officeDocument/2006/relationships/hyperlink" Target="https://www.tradingview.com/chart/CRSXnWRx/?symbol=PSE%3AHDG" TargetMode="External"/><Relationship Id="rId5" Type="http://schemas.openxmlformats.org/officeDocument/2006/relationships/hyperlink" Target="https://www.tradingview.com/chart/CRSXnWRx/?symbol=PSE%3AHDG" TargetMode="External"/><Relationship Id="rId6" Type="http://schemas.openxmlformats.org/officeDocument/2006/relationships/hyperlink" Target="https://www.tradingview.com/chart/?symbol=PSE%3ASVC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tradingview.com/chart/CRSXnWRx/?symbol=PSE%3APRO" TargetMode="External"/><Relationship Id="rId2" Type="http://schemas.openxmlformats.org/officeDocument/2006/relationships/hyperlink" Target="https://www.tradingview.com/chart/CRSXnWRx/?symbol=PH+MINING+AND+OIL" TargetMode="External"/><Relationship Id="rId3" Type="http://schemas.openxmlformats.org/officeDocument/2006/relationships/hyperlink" Target="https://www.tradingview.com/chart/CRSXnWRx/?symbol=PSE%3AHDG" TargetMode="External"/><Relationship Id="rId4" Type="http://schemas.openxmlformats.org/officeDocument/2006/relationships/hyperlink" Target="https://www.tradingview.com/chart/CRSXnWRx/?symbol=PSE%3AFIN" TargetMode="External"/><Relationship Id="rId5" Type="http://schemas.openxmlformats.org/officeDocument/2006/relationships/hyperlink" Target="https://www.tradingview.com/chart/?symbol=PSE%3ASVC" TargetMode="External"/><Relationship Id="rId6" Type="http://schemas.openxmlformats.org/officeDocument/2006/relationships/hyperlink" Target="https://www.tradingview.com/chart/CRSXnWRx/?symbol=PSE%3AHD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X74"/>
  <sheetViews>
    <sheetView showFormulas="false" showGridLines="true" showRowColHeaders="true" showZeros="true" rightToLeft="false" tabSelected="false" showOutlineSymbols="true" defaultGridColor="true" view="normal" topLeftCell="C40" colorId="64" zoomScale="85" zoomScaleNormal="85" zoomScalePageLayoutView="100" workbookViewId="0">
      <selection pane="topLeft" activeCell="C39" activeCellId="0" sqref="C39"/>
    </sheetView>
  </sheetViews>
  <sheetFormatPr defaultColWidth="8.5390625" defaultRowHeight="15" customHeight="true" zeroHeight="false" outlineLevelRow="0" outlineLevelCol="0"/>
  <cols>
    <col collapsed="false" customWidth="true" hidden="false" outlineLevel="0" max="3" min="3" style="1" width="15.43"/>
    <col collapsed="false" customWidth="true" hidden="false" outlineLevel="0" max="4" min="4" style="1" width="15.86"/>
    <col collapsed="false" customWidth="true" hidden="false" outlineLevel="0" max="5" min="5" style="1" width="13.86"/>
    <col collapsed="false" customWidth="true" hidden="false" outlineLevel="0" max="6" min="6" style="1" width="15.29"/>
    <col collapsed="false" customWidth="true" hidden="false" outlineLevel="0" max="9" min="9" style="1" width="14.43"/>
    <col collapsed="false" customWidth="true" hidden="false" outlineLevel="0" max="10" min="10" style="1" width="16"/>
    <col collapsed="false" customWidth="true" hidden="false" outlineLevel="0" max="11" min="11" style="1" width="20.71"/>
    <col collapsed="false" customWidth="true" hidden="false" outlineLevel="0" max="12" min="12" style="1" width="13.86"/>
    <col collapsed="false" customWidth="true" hidden="false" outlineLevel="0" max="15" min="15" style="1" width="13.57"/>
    <col collapsed="false" customWidth="true" hidden="false" outlineLevel="0" max="16" min="16" style="1" width="18.57"/>
    <col collapsed="false" customWidth="true" hidden="false" outlineLevel="0" max="17" min="17" style="1" width="17.29"/>
    <col collapsed="false" customWidth="true" hidden="false" outlineLevel="0" max="18" min="18" style="1" width="16.86"/>
  </cols>
  <sheetData>
    <row r="2" customFormat="false" ht="15" hidden="false" customHeight="false" outlineLevel="0" collapsed="false">
      <c r="C2" s="2" t="s">
        <v>0</v>
      </c>
      <c r="D2" s="2"/>
      <c r="E2" s="2"/>
      <c r="F2" s="2"/>
      <c r="I2" s="2" t="s">
        <v>1</v>
      </c>
      <c r="J2" s="2"/>
      <c r="K2" s="2"/>
      <c r="L2" s="2"/>
      <c r="O2" s="2" t="s">
        <v>2</v>
      </c>
      <c r="P2" s="2"/>
      <c r="Q2" s="2"/>
      <c r="R2" s="2"/>
      <c r="U2" s="3"/>
      <c r="V2" s="3"/>
      <c r="W2" s="3"/>
      <c r="X2" s="3"/>
    </row>
    <row r="3" customFormat="false" ht="15" hidden="false" customHeight="false" outlineLevel="0" collapsed="false">
      <c r="C3" s="4" t="s">
        <v>3</v>
      </c>
      <c r="D3" s="4"/>
      <c r="E3" s="4"/>
      <c r="I3" s="5" t="s">
        <v>3</v>
      </c>
      <c r="J3" s="5"/>
      <c r="K3" s="5"/>
      <c r="O3" s="4" t="s">
        <v>3</v>
      </c>
      <c r="P3" s="4"/>
      <c r="Q3" s="4"/>
    </row>
    <row r="4" customFormat="false" ht="15" hidden="false" customHeight="false" outlineLevel="0" collapsed="false">
      <c r="C4" s="6" t="s">
        <v>4</v>
      </c>
      <c r="D4" s="7" t="s">
        <v>5</v>
      </c>
      <c r="E4" s="7"/>
      <c r="I4" s="6" t="s">
        <v>4</v>
      </c>
      <c r="J4" s="7" t="s">
        <v>6</v>
      </c>
      <c r="K4" s="7"/>
      <c r="O4" s="6" t="s">
        <v>4</v>
      </c>
      <c r="P4" s="7" t="s">
        <v>7</v>
      </c>
      <c r="Q4" s="7"/>
    </row>
    <row r="5" customFormat="false" ht="15" hidden="false" customHeight="false" outlineLevel="0" collapsed="false">
      <c r="C5" s="6" t="s">
        <v>8</v>
      </c>
      <c r="D5" s="7" t="s">
        <v>9</v>
      </c>
      <c r="E5" s="7"/>
      <c r="I5" s="6" t="s">
        <v>8</v>
      </c>
      <c r="J5" s="7" t="s">
        <v>9</v>
      </c>
      <c r="K5" s="7"/>
      <c r="O5" s="6" t="s">
        <v>8</v>
      </c>
      <c r="P5" s="7" t="s">
        <v>9</v>
      </c>
      <c r="Q5" s="7"/>
    </row>
    <row r="6" customFormat="false" ht="15" hidden="false" customHeight="false" outlineLevel="0" collapsed="false">
      <c r="C6" s="6" t="s">
        <v>10</v>
      </c>
      <c r="D6" s="6" t="s">
        <v>11</v>
      </c>
      <c r="E6" s="6" t="s">
        <v>12</v>
      </c>
      <c r="I6" s="6" t="s">
        <v>10</v>
      </c>
      <c r="J6" s="6" t="s">
        <v>11</v>
      </c>
      <c r="K6" s="6" t="s">
        <v>12</v>
      </c>
      <c r="O6" s="6" t="s">
        <v>10</v>
      </c>
      <c r="P6" s="6" t="s">
        <v>11</v>
      </c>
      <c r="Q6" s="6" t="s">
        <v>12</v>
      </c>
    </row>
    <row r="7" customFormat="false" ht="15" hidden="false" customHeight="false" outlineLevel="0" collapsed="false">
      <c r="C7" s="6" t="s">
        <v>13</v>
      </c>
      <c r="D7" s="8" t="n">
        <f aca="false">DATE(2019,7,1)</f>
        <v>43647</v>
      </c>
      <c r="E7" s="8" t="n">
        <f aca="false">DATE(2019,12,2)</f>
        <v>43801</v>
      </c>
      <c r="I7" s="6" t="s">
        <v>13</v>
      </c>
      <c r="J7" s="8" t="n">
        <f aca="false">DATE(2019,7,1)</f>
        <v>43647</v>
      </c>
      <c r="K7" s="8" t="n">
        <f aca="false">DATE(2019,12,2)</f>
        <v>43801</v>
      </c>
      <c r="O7" s="6" t="s">
        <v>13</v>
      </c>
      <c r="P7" s="8" t="n">
        <f aca="false">DATE(2019,7,1)</f>
        <v>43647</v>
      </c>
      <c r="Q7" s="8" t="n">
        <f aca="false">DATE(2019,12,2)</f>
        <v>43801</v>
      </c>
    </row>
    <row r="8" customFormat="false" ht="15" hidden="false" customHeight="false" outlineLevel="0" collapsed="false">
      <c r="C8" s="6" t="s">
        <v>14</v>
      </c>
      <c r="D8" s="8" t="n">
        <f aca="false">DATE(2019,11,25)</f>
        <v>43794</v>
      </c>
      <c r="E8" s="8" t="n">
        <f aca="false">DATE(2020,5,25)</f>
        <v>43976</v>
      </c>
      <c r="I8" s="6" t="s">
        <v>14</v>
      </c>
      <c r="J8" s="8" t="n">
        <f aca="false">DATE(2019,11,25)</f>
        <v>43794</v>
      </c>
      <c r="K8" s="8" t="n">
        <f aca="false">DATE(2020,4,27)</f>
        <v>43948</v>
      </c>
      <c r="O8" s="6" t="s">
        <v>14</v>
      </c>
      <c r="P8" s="8" t="n">
        <f aca="false">DATE(2019,11,25)</f>
        <v>43794</v>
      </c>
      <c r="Q8" s="8" t="n">
        <f aca="false">DATE(2020,4,27)</f>
        <v>43948</v>
      </c>
    </row>
    <row r="9" customFormat="false" ht="15" hidden="false" customHeight="false" outlineLevel="0" collapsed="false">
      <c r="C9" s="6" t="s">
        <v>15</v>
      </c>
      <c r="D9" s="9" t="s">
        <v>16</v>
      </c>
      <c r="E9" s="6"/>
      <c r="I9" s="6" t="s">
        <v>15</v>
      </c>
      <c r="J9" s="10" t="s">
        <v>17</v>
      </c>
      <c r="K9" s="11"/>
      <c r="O9" s="6" t="s">
        <v>15</v>
      </c>
      <c r="P9" s="10" t="s">
        <v>18</v>
      </c>
      <c r="Q9" s="11"/>
    </row>
    <row r="10" customFormat="false" ht="15" hidden="false" customHeight="false" outlineLevel="0" collapsed="false">
      <c r="C10" s="12" t="s">
        <v>19</v>
      </c>
      <c r="D10" s="12"/>
      <c r="E10" s="13" t="s">
        <v>20</v>
      </c>
      <c r="F10" s="13"/>
      <c r="I10" s="14" t="s">
        <v>19</v>
      </c>
      <c r="J10" s="14"/>
      <c r="K10" s="15" t="s">
        <v>20</v>
      </c>
      <c r="L10" s="15"/>
      <c r="O10" s="14" t="s">
        <v>19</v>
      </c>
      <c r="P10" s="14"/>
      <c r="Q10" s="15" t="s">
        <v>20</v>
      </c>
      <c r="R10" s="15"/>
    </row>
    <row r="11" customFormat="false" ht="15" hidden="false" customHeight="false" outlineLevel="0" collapsed="false">
      <c r="C11" s="16" t="s">
        <v>21</v>
      </c>
      <c r="D11" s="16" t="s">
        <v>22</v>
      </c>
      <c r="E11" s="13" t="s">
        <v>21</v>
      </c>
      <c r="F11" s="13" t="s">
        <v>23</v>
      </c>
      <c r="I11" s="16" t="s">
        <v>21</v>
      </c>
      <c r="J11" s="16" t="s">
        <v>22</v>
      </c>
      <c r="K11" s="13" t="s">
        <v>21</v>
      </c>
      <c r="L11" s="13" t="s">
        <v>23</v>
      </c>
      <c r="O11" s="16" t="s">
        <v>21</v>
      </c>
      <c r="P11" s="16" t="s">
        <v>22</v>
      </c>
      <c r="Q11" s="13" t="s">
        <v>21</v>
      </c>
      <c r="R11" s="17" t="s">
        <v>23</v>
      </c>
    </row>
    <row r="12" customFormat="false" ht="15" hidden="false" customHeight="false" outlineLevel="0" collapsed="false">
      <c r="C12" s="18" t="n">
        <f aca="false">D7+0</f>
        <v>43647</v>
      </c>
      <c r="D12" s="19" t="n">
        <v>4379.75</v>
      </c>
      <c r="E12" s="20" t="n">
        <f aca="false">E7</f>
        <v>43801</v>
      </c>
      <c r="F12" s="21" t="n">
        <v>4099.8799</v>
      </c>
      <c r="I12" s="18" t="n">
        <f aca="false">J7+0</f>
        <v>43647</v>
      </c>
      <c r="J12" s="19" t="n">
        <v>7439.29</v>
      </c>
      <c r="K12" s="20" t="n">
        <f aca="false">K7</f>
        <v>43801</v>
      </c>
      <c r="L12" s="21" t="n">
        <v>7517.51</v>
      </c>
      <c r="O12" s="18" t="n">
        <f aca="false">P7</f>
        <v>43647</v>
      </c>
      <c r="P12" s="16" t="n">
        <v>1742.01</v>
      </c>
      <c r="Q12" s="22" t="n">
        <f aca="false">Q7</f>
        <v>43801</v>
      </c>
      <c r="R12" s="21" t="n">
        <v>1874.61</v>
      </c>
    </row>
    <row r="13" customFormat="false" ht="15" hidden="false" customHeight="false" outlineLevel="0" collapsed="false">
      <c r="C13" s="18" t="n">
        <f aca="false">C12+7</f>
        <v>43654</v>
      </c>
      <c r="D13" s="19" t="n">
        <v>4423.9302</v>
      </c>
      <c r="E13" s="20" t="n">
        <f aca="false">E12+7</f>
        <v>43808</v>
      </c>
      <c r="F13" s="21" t="n">
        <v>4193.9399</v>
      </c>
      <c r="I13" s="18" t="n">
        <f aca="false">I12+7</f>
        <v>43654</v>
      </c>
      <c r="J13" s="19" t="n">
        <v>7437.16</v>
      </c>
      <c r="K13" s="20" t="n">
        <f aca="false">K12+7</f>
        <v>43808</v>
      </c>
      <c r="L13" s="21" t="n">
        <v>7521.46</v>
      </c>
      <c r="O13" s="18" t="n">
        <f aca="false">O12+7</f>
        <v>43654</v>
      </c>
      <c r="P13" s="16" t="n">
        <v>1788.79</v>
      </c>
      <c r="Q13" s="22" t="n">
        <f aca="false">Q12+7</f>
        <v>43808</v>
      </c>
      <c r="R13" s="21" t="n">
        <v>1903.17</v>
      </c>
    </row>
    <row r="14" customFormat="false" ht="15" hidden="false" customHeight="false" outlineLevel="0" collapsed="false">
      <c r="C14" s="18" t="n">
        <f aca="false">C13+7</f>
        <v>43661</v>
      </c>
      <c r="D14" s="19" t="n">
        <v>4423.5698</v>
      </c>
      <c r="E14" s="20" t="n">
        <f aca="false">E13+7</f>
        <v>43815</v>
      </c>
      <c r="F14" s="21" t="n">
        <v>4139.54</v>
      </c>
      <c r="I14" s="18" t="n">
        <f aca="false">I13+7</f>
        <v>43661</v>
      </c>
      <c r="J14" s="19" t="n">
        <v>8126.27</v>
      </c>
      <c r="K14" s="20" t="n">
        <f aca="false">K13+7</f>
        <v>43815</v>
      </c>
      <c r="L14" s="21" t="n">
        <v>7586.74</v>
      </c>
      <c r="O14" s="18" t="n">
        <f aca="false">O13+7</f>
        <v>43661</v>
      </c>
      <c r="P14" s="16" t="n">
        <v>1877.28</v>
      </c>
      <c r="Q14" s="22" t="n">
        <f aca="false">Q13+7</f>
        <v>43815</v>
      </c>
      <c r="R14" s="21" t="n">
        <v>1843.16</v>
      </c>
    </row>
    <row r="15" customFormat="false" ht="15" hidden="false" customHeight="false" outlineLevel="0" collapsed="false">
      <c r="C15" s="18" t="n">
        <f aca="false">C14+7</f>
        <v>43668</v>
      </c>
      <c r="D15" s="19" t="n">
        <v>4347.0898</v>
      </c>
      <c r="E15" s="20" t="n">
        <f aca="false">E14+7</f>
        <v>43822</v>
      </c>
      <c r="F15" s="21" t="n">
        <v>4154.52</v>
      </c>
      <c r="I15" s="18" t="n">
        <f aca="false">I14+7</f>
        <v>43668</v>
      </c>
      <c r="J15" s="19" t="n">
        <v>7870.97</v>
      </c>
      <c r="K15" s="20" t="n">
        <f aca="false">K14+7</f>
        <v>43822</v>
      </c>
      <c r="L15" s="21" t="n">
        <v>8091.98</v>
      </c>
      <c r="O15" s="18" t="n">
        <f aca="false">O14+7</f>
        <v>43668</v>
      </c>
      <c r="P15" s="16" t="n">
        <v>1848.49</v>
      </c>
      <c r="Q15" s="22" t="n">
        <f aca="false">Q14+7</f>
        <v>43822</v>
      </c>
      <c r="R15" s="21" t="n">
        <v>1863.65</v>
      </c>
    </row>
    <row r="16" customFormat="false" ht="15" hidden="false" customHeight="false" outlineLevel="0" collapsed="false">
      <c r="C16" s="18" t="n">
        <f aca="false">C15+7</f>
        <v>43675</v>
      </c>
      <c r="D16" s="23" t="n">
        <v>4324</v>
      </c>
      <c r="E16" s="20" t="n">
        <f aca="false">E15+7</f>
        <v>43829</v>
      </c>
      <c r="F16" s="21" t="n">
        <v>4173.6699</v>
      </c>
      <c r="I16" s="18" t="n">
        <f aca="false">I15+7</f>
        <v>43675</v>
      </c>
      <c r="J16" s="19" t="n">
        <v>8101.47</v>
      </c>
      <c r="K16" s="20" t="n">
        <f aca="false">K15+7</f>
        <v>43829</v>
      </c>
      <c r="L16" s="21" t="n">
        <v>8020.76</v>
      </c>
      <c r="O16" s="18" t="n">
        <f aca="false">O15+7</f>
        <v>43675</v>
      </c>
      <c r="P16" s="16" t="n">
        <v>1861.4</v>
      </c>
      <c r="Q16" s="22" t="n">
        <f aca="false">Q15+7</f>
        <v>43829</v>
      </c>
      <c r="R16" s="21" t="n">
        <v>1844.48</v>
      </c>
    </row>
    <row r="17" customFormat="false" ht="15" hidden="false" customHeight="false" outlineLevel="0" collapsed="false">
      <c r="C17" s="18" t="n">
        <f aca="false">C16+7</f>
        <v>43682</v>
      </c>
      <c r="D17" s="19" t="n">
        <v>4100.02</v>
      </c>
      <c r="E17" s="20" t="n">
        <f aca="false">E16+7</f>
        <v>43836</v>
      </c>
      <c r="F17" s="21" t="n">
        <v>4112.3398</v>
      </c>
      <c r="I17" s="18" t="n">
        <f aca="false">I16+7</f>
        <v>43682</v>
      </c>
      <c r="J17" s="19" t="n">
        <v>8152.22</v>
      </c>
      <c r="K17" s="20" t="n">
        <f aca="false">K16+7</f>
        <v>43836</v>
      </c>
      <c r="L17" s="21" t="n">
        <v>8107.64</v>
      </c>
      <c r="O17" s="18" t="n">
        <f aca="false">O16+7</f>
        <v>43682</v>
      </c>
      <c r="P17" s="16" t="n">
        <v>1851.6</v>
      </c>
      <c r="Q17" s="22" t="n">
        <f aca="false">Q16+7</f>
        <v>43836</v>
      </c>
      <c r="R17" s="21" t="n">
        <v>1827.52</v>
      </c>
    </row>
    <row r="18" customFormat="false" ht="15" hidden="false" customHeight="false" outlineLevel="0" collapsed="false">
      <c r="C18" s="18" t="n">
        <f aca="false">C17+7</f>
        <v>43689</v>
      </c>
      <c r="D18" s="19" t="n">
        <v>4036.97</v>
      </c>
      <c r="E18" s="20" t="n">
        <f aca="false">E17+7</f>
        <v>43843</v>
      </c>
      <c r="F18" s="21" t="n">
        <v>4035.78</v>
      </c>
      <c r="I18" s="18" t="n">
        <f aca="false">I17+7</f>
        <v>43689</v>
      </c>
      <c r="J18" s="19" t="n">
        <v>8051.19</v>
      </c>
      <c r="K18" s="20" t="n">
        <f aca="false">K17+7</f>
        <v>43843</v>
      </c>
      <c r="L18" s="21" t="n">
        <v>8143.53</v>
      </c>
      <c r="O18" s="18" t="n">
        <f aca="false">O17+7</f>
        <v>43689</v>
      </c>
      <c r="P18" s="16" t="n">
        <v>1779.29</v>
      </c>
      <c r="Q18" s="22" t="n">
        <f aca="false">Q17+7</f>
        <v>43843</v>
      </c>
      <c r="R18" s="21" t="n">
        <v>1846.91</v>
      </c>
    </row>
    <row r="19" customFormat="false" ht="15" hidden="false" customHeight="false" outlineLevel="0" collapsed="false">
      <c r="C19" s="18" t="n">
        <f aca="false">C18+7</f>
        <v>43696</v>
      </c>
      <c r="D19" s="19" t="n">
        <v>4016.6899</v>
      </c>
      <c r="E19" s="20" t="n">
        <f aca="false">E18+7</f>
        <v>43850</v>
      </c>
      <c r="F19" s="21" t="n">
        <v>3962.3201</v>
      </c>
      <c r="I19" s="18" t="n">
        <f aca="false">I18+7</f>
        <v>43696</v>
      </c>
      <c r="J19" s="19" t="n">
        <v>8074</v>
      </c>
      <c r="K19" s="20" t="n">
        <f aca="false">K18+7</f>
        <v>43850</v>
      </c>
      <c r="L19" s="21" t="n">
        <v>7968.19</v>
      </c>
      <c r="O19" s="18" t="n">
        <f aca="false">O18+7</f>
        <v>43696</v>
      </c>
      <c r="P19" s="16" t="n">
        <v>1827.12</v>
      </c>
      <c r="Q19" s="22" t="n">
        <f aca="false">Q18+7</f>
        <v>43850</v>
      </c>
      <c r="R19" s="21" t="n">
        <v>1810.37</v>
      </c>
    </row>
    <row r="20" customFormat="false" ht="15" hidden="false" customHeight="false" outlineLevel="0" collapsed="false">
      <c r="C20" s="18" t="n">
        <f aca="false">C19+7</f>
        <v>43703</v>
      </c>
      <c r="D20" s="19" t="n">
        <v>3998</v>
      </c>
      <c r="E20" s="20" t="n">
        <f aca="false">E19+7</f>
        <v>43857</v>
      </c>
      <c r="F20" s="21" t="n">
        <v>4727.81</v>
      </c>
      <c r="I20" s="18" t="n">
        <f aca="false">I19+7</f>
        <v>43703</v>
      </c>
      <c r="J20" s="19" t="n">
        <v>8250.52</v>
      </c>
      <c r="K20" s="20" t="n">
        <f aca="false">K19+7</f>
        <v>43857</v>
      </c>
      <c r="L20" s="21" t="n">
        <v>7663.26</v>
      </c>
      <c r="O20" s="18" t="n">
        <f aca="false">O19+7</f>
        <v>43703</v>
      </c>
      <c r="P20" s="16" t="n">
        <v>1833.28</v>
      </c>
      <c r="Q20" s="22" t="n">
        <f aca="false">Q19+7</f>
        <v>43857</v>
      </c>
      <c r="R20" s="21" t="n">
        <v>1724.93</v>
      </c>
    </row>
    <row r="21" customFormat="false" ht="15" hidden="false" customHeight="false" outlineLevel="0" collapsed="false">
      <c r="C21" s="18" t="n">
        <f aca="false">C20+7</f>
        <v>43710</v>
      </c>
      <c r="D21" s="19" t="n">
        <v>4050.97</v>
      </c>
      <c r="E21" s="20" t="n">
        <f aca="false">E20+7</f>
        <v>43864</v>
      </c>
      <c r="F21" s="13" t="n">
        <v>6281.71</v>
      </c>
      <c r="I21" s="18" t="n">
        <f aca="false">I20+7</f>
        <v>43710</v>
      </c>
      <c r="J21" s="19" t="n">
        <v>9269.45</v>
      </c>
      <c r="K21" s="20" t="n">
        <f aca="false">K20+7</f>
        <v>43864</v>
      </c>
      <c r="L21" s="21" t="n">
        <v>7383.47</v>
      </c>
      <c r="O21" s="18" t="n">
        <f aca="false">O20+7</f>
        <v>43710</v>
      </c>
      <c r="P21" s="16" t="n">
        <v>1804.17</v>
      </c>
      <c r="Q21" s="22" t="n">
        <f aca="false">Q20+7</f>
        <v>43864</v>
      </c>
      <c r="R21" s="21" t="n">
        <v>1791.09</v>
      </c>
    </row>
    <row r="22" customFormat="false" ht="15" hidden="false" customHeight="false" outlineLevel="0" collapsed="false">
      <c r="C22" s="18" t="n">
        <f aca="false">C21+7</f>
        <v>43717</v>
      </c>
      <c r="D22" s="19" t="n">
        <v>4064.0801</v>
      </c>
      <c r="E22" s="20" t="n">
        <f aca="false">E21+7</f>
        <v>43871</v>
      </c>
      <c r="F22" s="21" t="n">
        <v>6451.44</v>
      </c>
      <c r="I22" s="18" t="n">
        <f aca="false">I21+7</f>
        <v>43717</v>
      </c>
      <c r="J22" s="19" t="n">
        <v>9591.46</v>
      </c>
      <c r="K22" s="20" t="n">
        <f aca="false">K21+7</f>
        <v>43871</v>
      </c>
      <c r="L22" s="21" t="n">
        <v>7058.64</v>
      </c>
      <c r="O22" s="18" t="n">
        <f aca="false">O21+7</f>
        <v>43717</v>
      </c>
      <c r="P22" s="16" t="n">
        <v>1832.62</v>
      </c>
      <c r="Q22" s="22" t="n">
        <f aca="false">Q21+7</f>
        <v>43871</v>
      </c>
      <c r="R22" s="21" t="n">
        <v>1738.95</v>
      </c>
    </row>
    <row r="23" customFormat="false" ht="15" hidden="false" customHeight="false" outlineLevel="0" collapsed="false">
      <c r="C23" s="18" t="n">
        <f aca="false">C22+7</f>
        <v>43724</v>
      </c>
      <c r="D23" s="19" t="n">
        <v>3985.76</v>
      </c>
      <c r="E23" s="20" t="n">
        <f aca="false">E22+7</f>
        <v>43878</v>
      </c>
      <c r="F23" s="13" t="n">
        <v>7086.9</v>
      </c>
      <c r="I23" s="18" t="n">
        <f aca="false">I22+7</f>
        <v>43724</v>
      </c>
      <c r="J23" s="19" t="n">
        <v>9375.03</v>
      </c>
      <c r="K23" s="20" t="n">
        <f aca="false">K22+7</f>
        <v>43878</v>
      </c>
      <c r="L23" s="21" t="n">
        <v>7086.9</v>
      </c>
      <c r="O23" s="18" t="n">
        <f aca="false">O22+7</f>
        <v>43724</v>
      </c>
      <c r="P23" s="16" t="n">
        <v>1786.58</v>
      </c>
      <c r="Q23" s="22" t="n">
        <f aca="false">Q22+7</f>
        <v>43878</v>
      </c>
      <c r="R23" s="21" t="n">
        <v>1738.92</v>
      </c>
    </row>
    <row r="24" customFormat="false" ht="15" hidden="false" customHeight="false" outlineLevel="0" collapsed="false">
      <c r="C24" s="18" t="n">
        <f aca="false">C23+7</f>
        <v>43731</v>
      </c>
      <c r="D24" s="19" t="n">
        <v>4068.6201</v>
      </c>
      <c r="E24" s="20" t="n">
        <f aca="false">E23+7</f>
        <v>43885</v>
      </c>
      <c r="F24" s="21" t="n">
        <v>7058.64</v>
      </c>
      <c r="I24" s="18" t="n">
        <f aca="false">I23+7</f>
        <v>43731</v>
      </c>
      <c r="J24" s="19" t="n">
        <v>8968.4</v>
      </c>
      <c r="K24" s="20" t="n">
        <f aca="false">K23+7</f>
        <v>43885</v>
      </c>
      <c r="L24" s="21" t="n">
        <v>6451.44</v>
      </c>
      <c r="O24" s="18" t="n">
        <f aca="false">O23+7</f>
        <v>43731</v>
      </c>
      <c r="P24" s="16" t="n">
        <v>1803.55</v>
      </c>
      <c r="Q24" s="22" t="n">
        <f aca="false">Q23+7</f>
        <v>43885</v>
      </c>
      <c r="R24" s="21" t="n">
        <v>1605.99</v>
      </c>
    </row>
    <row r="25" customFormat="false" ht="15" hidden="false" customHeight="false" outlineLevel="0" collapsed="false">
      <c r="C25" s="18" t="n">
        <f aca="false">C24+7</f>
        <v>43738</v>
      </c>
      <c r="D25" s="19" t="n">
        <v>4010.8999</v>
      </c>
      <c r="E25" s="20" t="n">
        <f aca="false">E24+7</f>
        <v>43892</v>
      </c>
      <c r="F25" s="13" t="n">
        <v>7383.47</v>
      </c>
      <c r="I25" s="18" t="n">
        <f aca="false">I24+7</f>
        <v>43738</v>
      </c>
      <c r="J25" s="19" t="n">
        <v>8843.07</v>
      </c>
      <c r="K25" s="20" t="n">
        <f aca="false">K24+7</f>
        <v>43892</v>
      </c>
      <c r="L25" s="21" t="n">
        <v>6281.71</v>
      </c>
      <c r="O25" s="18" t="n">
        <f aca="false">O24+7</f>
        <v>43738</v>
      </c>
      <c r="P25" s="16" t="n">
        <v>1805.59</v>
      </c>
      <c r="Q25" s="22" t="n">
        <f aca="false">Q24+7</f>
        <v>43892</v>
      </c>
      <c r="R25" s="21" t="n">
        <v>1596.23</v>
      </c>
    </row>
    <row r="26" customFormat="false" ht="15" hidden="false" customHeight="false" outlineLevel="0" collapsed="false">
      <c r="C26" s="18" t="n">
        <f aca="false">C25+7</f>
        <v>43745</v>
      </c>
      <c r="D26" s="19" t="n">
        <v>4129.6802</v>
      </c>
      <c r="E26" s="20" t="n">
        <f aca="false">E25+7</f>
        <v>43899</v>
      </c>
      <c r="F26" s="21" t="n">
        <v>7663.26</v>
      </c>
      <c r="I26" s="18" t="n">
        <f aca="false">I25+7</f>
        <v>43745</v>
      </c>
      <c r="J26" s="19" t="n">
        <v>9178.36</v>
      </c>
      <c r="K26" s="20" t="n">
        <f aca="false">K25+7</f>
        <v>43899</v>
      </c>
      <c r="L26" s="21" t="n">
        <v>4727.81</v>
      </c>
      <c r="O26" s="18" t="n">
        <f aca="false">O25+7</f>
        <v>43745</v>
      </c>
      <c r="P26" s="16" t="n">
        <v>1821.17</v>
      </c>
      <c r="Q26" s="22" t="n">
        <f aca="false">Q25+7</f>
        <v>43899</v>
      </c>
      <c r="R26" s="21" t="n">
        <v>1415.66</v>
      </c>
    </row>
    <row r="27" customFormat="false" ht="15" hidden="false" customHeight="false" outlineLevel="0" collapsed="false">
      <c r="C27" s="18" t="n">
        <f aca="false">C26+7</f>
        <v>43752</v>
      </c>
      <c r="D27" s="19" t="n">
        <v>4177.25</v>
      </c>
      <c r="E27" s="20" t="n">
        <f aca="false">E26+7</f>
        <v>43906</v>
      </c>
      <c r="F27" s="21" t="n">
        <v>2781.1499</v>
      </c>
      <c r="I27" s="18" t="n">
        <f aca="false">I26+7</f>
        <v>43752</v>
      </c>
      <c r="J27" s="19" t="n">
        <v>8907.35</v>
      </c>
      <c r="K27" s="20" t="n">
        <f aca="false">K26+7</f>
        <v>43906</v>
      </c>
      <c r="L27" s="21" t="n">
        <v>3745.47</v>
      </c>
      <c r="O27" s="18" t="n">
        <f aca="false">O26+7</f>
        <v>43752</v>
      </c>
      <c r="P27" s="16" t="n">
        <v>1841.26</v>
      </c>
      <c r="Q27" s="22" t="n">
        <f aca="false">Q26+7</f>
        <v>43906</v>
      </c>
      <c r="R27" s="21" t="n">
        <v>1163.69</v>
      </c>
    </row>
    <row r="28" customFormat="false" ht="15" hidden="false" customHeight="false" outlineLevel="0" collapsed="false">
      <c r="C28" s="18" t="n">
        <f aca="false">C27+7</f>
        <v>43759</v>
      </c>
      <c r="D28" s="19" t="n">
        <v>4166.29</v>
      </c>
      <c r="E28" s="20" t="n">
        <f aca="false">E27+7</f>
        <v>43913</v>
      </c>
      <c r="F28" s="21" t="n">
        <v>2781.1499</v>
      </c>
      <c r="I28" s="18" t="n">
        <f aca="false">I27+7</f>
        <v>43759</v>
      </c>
      <c r="J28" s="19" t="n">
        <v>9209.23</v>
      </c>
      <c r="K28" s="20" t="n">
        <f aca="false">K27+7</f>
        <v>43913</v>
      </c>
      <c r="L28" s="21" t="n">
        <v>4102.47</v>
      </c>
      <c r="O28" s="18" t="n">
        <f aca="false">O27+7</f>
        <v>43759</v>
      </c>
      <c r="P28" s="16" t="n">
        <v>1876.79</v>
      </c>
      <c r="Q28" s="20" t="n">
        <f aca="false">Q27+7</f>
        <v>43913</v>
      </c>
      <c r="R28" s="24" t="n">
        <v>1217.28</v>
      </c>
    </row>
    <row r="29" customFormat="false" ht="15" hidden="false" customHeight="false" outlineLevel="0" collapsed="false">
      <c r="C29" s="18" t="n">
        <f aca="false">C28+7</f>
        <v>43766</v>
      </c>
      <c r="D29" s="19" t="n">
        <v>4166.29</v>
      </c>
      <c r="E29" s="20" t="n">
        <f aca="false">E28+7</f>
        <v>43920</v>
      </c>
      <c r="F29" s="21" t="n">
        <v>2785.8999</v>
      </c>
      <c r="I29" s="18" t="n">
        <f aca="false">I28+7</f>
        <v>43766</v>
      </c>
      <c r="J29" s="19" t="n">
        <v>9216.52</v>
      </c>
      <c r="K29" s="20" t="n">
        <f aca="false">K28+7</f>
        <v>43920</v>
      </c>
      <c r="L29" s="21" t="n">
        <v>4261.87</v>
      </c>
      <c r="O29" s="18" t="n">
        <f aca="false">O28+7</f>
        <v>43766</v>
      </c>
      <c r="P29" s="16" t="n">
        <v>1918.4</v>
      </c>
      <c r="Q29" s="20" t="n">
        <f aca="false">Q28+7</f>
        <v>43920</v>
      </c>
      <c r="R29" s="21" t="n">
        <v>1183.78</v>
      </c>
    </row>
    <row r="30" customFormat="false" ht="15" hidden="false" customHeight="false" outlineLevel="0" collapsed="false">
      <c r="C30" s="18" t="n">
        <f aca="false">C29+7</f>
        <v>43773</v>
      </c>
      <c r="D30" s="19" t="n">
        <v>4170.8901</v>
      </c>
      <c r="E30" s="20" t="n">
        <f aca="false">E29+7</f>
        <v>43927</v>
      </c>
      <c r="F30" s="21" t="n">
        <v>2815.6499</v>
      </c>
      <c r="I30" s="18" t="n">
        <f aca="false">I29+7</f>
        <v>43773</v>
      </c>
      <c r="J30" s="19" t="n">
        <v>9092.61</v>
      </c>
      <c r="K30" s="20" t="n">
        <f aca="false">K29+7</f>
        <v>43927</v>
      </c>
      <c r="L30" s="21" t="n">
        <v>4320.96</v>
      </c>
      <c r="O30" s="18" t="n">
        <f aca="false">O29+7</f>
        <v>43773</v>
      </c>
      <c r="P30" s="16" t="n">
        <v>1946.75</v>
      </c>
      <c r="Q30" s="20" t="n">
        <f aca="false">Q29+7</f>
        <v>43927</v>
      </c>
      <c r="R30" s="21" t="n">
        <v>1157.37</v>
      </c>
    </row>
    <row r="31" customFormat="false" ht="15" hidden="false" customHeight="false" outlineLevel="0" collapsed="false">
      <c r="C31" s="18" t="n">
        <f aca="false">C30+7</f>
        <v>43780</v>
      </c>
      <c r="D31" s="19" t="n">
        <v>4119.8398</v>
      </c>
      <c r="E31" s="20" t="n">
        <f aca="false">E30+7</f>
        <v>43934</v>
      </c>
      <c r="F31" s="21" t="n">
        <v>2934.97</v>
      </c>
      <c r="I31" s="18" t="n">
        <f aca="false">I30+7</f>
        <v>43780</v>
      </c>
      <c r="J31" s="19" t="n">
        <v>8742.14</v>
      </c>
      <c r="K31" s="20" t="n">
        <f aca="false">K30+7</f>
        <v>43934</v>
      </c>
      <c r="L31" s="21" t="n">
        <v>4688.22</v>
      </c>
      <c r="O31" s="18" t="n">
        <f aca="false">O30+7</f>
        <v>43780</v>
      </c>
      <c r="P31" s="16" t="n">
        <v>1920.85</v>
      </c>
      <c r="Q31" s="20" t="n">
        <f aca="false">Q30+7</f>
        <v>43934</v>
      </c>
      <c r="R31" s="21" t="n">
        <v>1235.72</v>
      </c>
    </row>
    <row r="32" customFormat="false" ht="15" hidden="false" customHeight="false" outlineLevel="0" collapsed="false">
      <c r="C32" s="18" t="n">
        <f aca="false">C31+7</f>
        <v>43787</v>
      </c>
      <c r="D32" s="19" t="n">
        <v>4033.22</v>
      </c>
      <c r="E32" s="20" t="n">
        <f aca="false">E31+7</f>
        <v>43941</v>
      </c>
      <c r="F32" s="21" t="n">
        <v>2921.9199</v>
      </c>
      <c r="I32" s="18" t="n">
        <f aca="false">I31+7</f>
        <v>43787</v>
      </c>
      <c r="J32" s="19" t="n">
        <v>8175.43</v>
      </c>
      <c r="K32" s="20" t="n">
        <f aca="false">K31+7</f>
        <v>43941</v>
      </c>
      <c r="L32" s="21" t="n">
        <v>4592.45</v>
      </c>
      <c r="O32" s="18" t="n">
        <f aca="false">O31+7</f>
        <v>43787</v>
      </c>
      <c r="P32" s="16" t="n">
        <v>1874.13</v>
      </c>
      <c r="Q32" s="20" t="n">
        <f aca="false">Q31+7</f>
        <v>43941</v>
      </c>
      <c r="R32" s="21" t="n">
        <v>1188.69</v>
      </c>
    </row>
    <row r="33" customFormat="false" ht="15" hidden="false" customHeight="false" outlineLevel="0" collapsed="false">
      <c r="C33" s="18" t="n">
        <f aca="false">C32+7</f>
        <v>43794</v>
      </c>
      <c r="D33" s="19" t="n">
        <v>4043.6001</v>
      </c>
      <c r="E33" s="20" t="n">
        <f aca="false">E32+7</f>
        <v>43948</v>
      </c>
      <c r="F33" s="21" t="n">
        <v>2715.46</v>
      </c>
      <c r="I33" s="18" t="n">
        <f aca="false">I32+7</f>
        <v>43794</v>
      </c>
      <c r="J33" s="19" t="n">
        <v>8054.07</v>
      </c>
      <c r="K33" s="20" t="n">
        <f aca="false">K32+7</f>
        <v>43948</v>
      </c>
      <c r="L33" s="21" t="n">
        <v>4708.57</v>
      </c>
      <c r="O33" s="18" t="n">
        <f aca="false">O32+7</f>
        <v>43794</v>
      </c>
      <c r="P33" s="16" t="n">
        <v>1841.8</v>
      </c>
      <c r="Q33" s="20" t="n">
        <f aca="false">Q32+7</f>
        <v>43948</v>
      </c>
      <c r="R33" s="21" t="n">
        <v>1188.67</v>
      </c>
    </row>
    <row r="34" customFormat="false" ht="15" hidden="false" customHeight="false" outlineLevel="0" collapsed="false">
      <c r="E34" s="20" t="n">
        <f aca="false">E33+7</f>
        <v>43955</v>
      </c>
      <c r="F34" s="21" t="n">
        <v>2963.6899</v>
      </c>
      <c r="K34" s="20" t="n">
        <f aca="false">K33+7</f>
        <v>43955</v>
      </c>
      <c r="L34" s="21" t="n">
        <v>4520.85</v>
      </c>
      <c r="Q34" s="20" t="n">
        <f aca="false">Q33+7</f>
        <v>43955</v>
      </c>
      <c r="R34" s="21" t="n">
        <v>1148.08</v>
      </c>
    </row>
    <row r="35" customFormat="false" ht="15" hidden="false" customHeight="false" outlineLevel="0" collapsed="false">
      <c r="E35" s="20" t="n">
        <f aca="false">E34+7</f>
        <v>43962</v>
      </c>
      <c r="F35" s="21" t="n">
        <v>2838.3999</v>
      </c>
      <c r="K35" s="20" t="n">
        <f aca="false">K34+7</f>
        <v>43962</v>
      </c>
      <c r="L35" s="21" t="n">
        <v>4505.48</v>
      </c>
      <c r="Q35" s="20" t="n">
        <f aca="false">Q34+7</f>
        <v>43962</v>
      </c>
      <c r="R35" s="21" t="n">
        <v>1129.4</v>
      </c>
    </row>
    <row r="36" customFormat="false" ht="15" hidden="false" customHeight="false" outlineLevel="0" collapsed="false">
      <c r="E36" s="20" t="n">
        <f aca="false">E35+7</f>
        <v>43969</v>
      </c>
      <c r="F36" s="21" t="n">
        <v>2824.1599</v>
      </c>
      <c r="K36" s="20" t="n">
        <f aca="false">K35+7</f>
        <v>43969</v>
      </c>
      <c r="L36" s="21" t="n">
        <v>4465.27</v>
      </c>
      <c r="Q36" s="20" t="n">
        <f aca="false">Q35+7</f>
        <v>43969</v>
      </c>
      <c r="R36" s="21" t="n">
        <v>1102.5</v>
      </c>
    </row>
    <row r="37" customFormat="false" ht="15" hidden="false" customHeight="false" outlineLevel="0" collapsed="false">
      <c r="E37" s="20" t="n">
        <f aca="false">E36+7</f>
        <v>43976</v>
      </c>
      <c r="F37" s="21" t="n">
        <v>2781.1499</v>
      </c>
      <c r="K37" s="20" t="n">
        <f aca="false">K36+7</f>
        <v>43976</v>
      </c>
      <c r="L37" s="21" t="n">
        <v>4362.72</v>
      </c>
      <c r="Q37" s="20" t="n">
        <f aca="false">Q36+7</f>
        <v>43976</v>
      </c>
      <c r="R37" s="21" t="n">
        <v>1176.42</v>
      </c>
    </row>
    <row r="39" customFormat="false" ht="15" hidden="false" customHeight="false" outlineLevel="0" collapsed="false">
      <c r="C39" s="2" t="s">
        <v>24</v>
      </c>
      <c r="D39" s="2"/>
      <c r="E39" s="2"/>
      <c r="F39" s="2"/>
      <c r="I39" s="2" t="s">
        <v>25</v>
      </c>
      <c r="J39" s="2"/>
      <c r="K39" s="2"/>
      <c r="L39" s="2"/>
      <c r="O39" s="2" t="s">
        <v>26</v>
      </c>
      <c r="P39" s="2"/>
      <c r="Q39" s="2"/>
      <c r="R39" s="2"/>
    </row>
    <row r="40" customFormat="false" ht="15" hidden="false" customHeight="false" outlineLevel="0" collapsed="false">
      <c r="C40" s="4" t="s">
        <v>3</v>
      </c>
      <c r="D40" s="4"/>
      <c r="E40" s="4"/>
      <c r="I40" s="5" t="s">
        <v>3</v>
      </c>
      <c r="J40" s="5"/>
      <c r="K40" s="5"/>
      <c r="O40" s="4" t="s">
        <v>3</v>
      </c>
      <c r="P40" s="4"/>
      <c r="Q40" s="4"/>
    </row>
    <row r="41" customFormat="false" ht="15" hidden="false" customHeight="false" outlineLevel="0" collapsed="false">
      <c r="C41" s="6" t="s">
        <v>4</v>
      </c>
      <c r="D41" s="7" t="s">
        <v>27</v>
      </c>
      <c r="E41" s="7"/>
      <c r="I41" s="6" t="s">
        <v>4</v>
      </c>
      <c r="J41" s="7" t="s">
        <v>28</v>
      </c>
      <c r="K41" s="7"/>
      <c r="O41" s="6" t="s">
        <v>4</v>
      </c>
      <c r="P41" s="7" t="s">
        <v>29</v>
      </c>
      <c r="Q41" s="7"/>
    </row>
    <row r="42" customFormat="false" ht="15" hidden="false" customHeight="false" outlineLevel="0" collapsed="false">
      <c r="C42" s="6" t="s">
        <v>8</v>
      </c>
      <c r="D42" s="7" t="s">
        <v>9</v>
      </c>
      <c r="E42" s="7"/>
      <c r="I42" s="6" t="s">
        <v>8</v>
      </c>
      <c r="J42" s="7" t="s">
        <v>9</v>
      </c>
      <c r="K42" s="7"/>
      <c r="O42" s="6" t="s">
        <v>8</v>
      </c>
      <c r="P42" s="7" t="s">
        <v>9</v>
      </c>
      <c r="Q42" s="7"/>
    </row>
    <row r="43" customFormat="false" ht="15" hidden="false" customHeight="false" outlineLevel="0" collapsed="false">
      <c r="C43" s="6" t="s">
        <v>10</v>
      </c>
      <c r="D43" s="6" t="s">
        <v>11</v>
      </c>
      <c r="E43" s="6" t="s">
        <v>12</v>
      </c>
      <c r="I43" s="6" t="s">
        <v>10</v>
      </c>
      <c r="J43" s="6" t="s">
        <v>11</v>
      </c>
      <c r="K43" s="6" t="s">
        <v>12</v>
      </c>
      <c r="O43" s="6" t="s">
        <v>10</v>
      </c>
      <c r="P43" s="6" t="s">
        <v>11</v>
      </c>
      <c r="Q43" s="6" t="s">
        <v>12</v>
      </c>
    </row>
    <row r="44" customFormat="false" ht="15" hidden="false" customHeight="false" outlineLevel="0" collapsed="false">
      <c r="C44" s="6" t="s">
        <v>13</v>
      </c>
      <c r="D44" s="8" t="n">
        <f aca="false">DATE(2019,7,1)</f>
        <v>43647</v>
      </c>
      <c r="E44" s="8" t="n">
        <f aca="false">DATE(2019,12,2)</f>
        <v>43801</v>
      </c>
      <c r="I44" s="6" t="s">
        <v>13</v>
      </c>
      <c r="J44" s="8" t="n">
        <f aca="false">DATE(2019,7,1)</f>
        <v>43647</v>
      </c>
      <c r="K44" s="8" t="n">
        <f aca="false">DATE(2019,12,2)</f>
        <v>43801</v>
      </c>
      <c r="O44" s="6" t="s">
        <v>13</v>
      </c>
      <c r="P44" s="8" t="n">
        <f aca="false">DATE(2019,7,1)</f>
        <v>43647</v>
      </c>
      <c r="Q44" s="8" t="n">
        <f aca="false">DATE(2019,12,2)</f>
        <v>43801</v>
      </c>
    </row>
    <row r="45" customFormat="false" ht="15" hidden="false" customHeight="false" outlineLevel="0" collapsed="false">
      <c r="C45" s="6" t="s">
        <v>14</v>
      </c>
      <c r="D45" s="8" t="n">
        <f aca="false">DATE(2019,11,25)</f>
        <v>43794</v>
      </c>
      <c r="E45" s="8" t="n">
        <f aca="false">DATE(2020,4,27)</f>
        <v>43948</v>
      </c>
      <c r="I45" s="6" t="s">
        <v>14</v>
      </c>
      <c r="J45" s="8" t="n">
        <f aca="false">DATE(2019,11,25)</f>
        <v>43794</v>
      </c>
      <c r="K45" s="8" t="n">
        <f aca="false">DATE(2020,4,27)</f>
        <v>43948</v>
      </c>
      <c r="O45" s="6" t="s">
        <v>14</v>
      </c>
      <c r="P45" s="8" t="n">
        <f aca="false">DATE(2019,11,25)</f>
        <v>43794</v>
      </c>
      <c r="Q45" s="8" t="n">
        <f aca="false">DATE(2020,5,25)</f>
        <v>43976</v>
      </c>
    </row>
    <row r="46" customFormat="false" ht="15" hidden="false" customHeight="false" outlineLevel="0" collapsed="false">
      <c r="C46" s="6" t="s">
        <v>15</v>
      </c>
      <c r="D46" s="10" t="s">
        <v>30</v>
      </c>
      <c r="E46" s="11"/>
      <c r="I46" s="6" t="s">
        <v>15</v>
      </c>
      <c r="J46" s="10" t="s">
        <v>31</v>
      </c>
      <c r="K46" s="11"/>
      <c r="O46" s="6" t="s">
        <v>15</v>
      </c>
      <c r="P46" s="10" t="s">
        <v>32</v>
      </c>
      <c r="Q46" s="11"/>
    </row>
    <row r="47" customFormat="false" ht="15" hidden="false" customHeight="false" outlineLevel="0" collapsed="false">
      <c r="C47" s="14" t="s">
        <v>19</v>
      </c>
      <c r="D47" s="14"/>
      <c r="E47" s="15" t="s">
        <v>20</v>
      </c>
      <c r="F47" s="15"/>
      <c r="I47" s="14" t="s">
        <v>19</v>
      </c>
      <c r="J47" s="14"/>
      <c r="K47" s="15" t="s">
        <v>20</v>
      </c>
      <c r="L47" s="15"/>
      <c r="O47" s="14" t="s">
        <v>19</v>
      </c>
      <c r="P47" s="14"/>
      <c r="Q47" s="15" t="s">
        <v>20</v>
      </c>
      <c r="R47" s="15"/>
    </row>
    <row r="48" customFormat="false" ht="15" hidden="false" customHeight="false" outlineLevel="0" collapsed="false">
      <c r="C48" s="16" t="s">
        <v>21</v>
      </c>
      <c r="D48" s="16" t="s">
        <v>22</v>
      </c>
      <c r="E48" s="13" t="s">
        <v>21</v>
      </c>
      <c r="F48" s="13" t="s">
        <v>23</v>
      </c>
      <c r="I48" s="16" t="s">
        <v>21</v>
      </c>
      <c r="J48" s="16" t="s">
        <v>22</v>
      </c>
      <c r="K48" s="13" t="s">
        <v>21</v>
      </c>
      <c r="L48" s="13" t="s">
        <v>23</v>
      </c>
      <c r="O48" s="16" t="s">
        <v>21</v>
      </c>
      <c r="P48" s="16" t="s">
        <v>22</v>
      </c>
      <c r="Q48" s="13" t="s">
        <v>21</v>
      </c>
      <c r="R48" s="13" t="s">
        <v>23</v>
      </c>
    </row>
    <row r="49" customFormat="false" ht="15" hidden="false" customHeight="false" outlineLevel="0" collapsed="false">
      <c r="C49" s="18" t="n">
        <f aca="false">D44</f>
        <v>43647</v>
      </c>
      <c r="D49" s="19" t="n">
        <v>7797.21</v>
      </c>
      <c r="E49" s="20" t="n">
        <f aca="false">E44</f>
        <v>43801</v>
      </c>
      <c r="F49" s="21" t="n">
        <v>7750.8198</v>
      </c>
      <c r="I49" s="18" t="n">
        <f aca="false">J44</f>
        <v>43647</v>
      </c>
      <c r="J49" s="19" t="n">
        <v>11988.32</v>
      </c>
      <c r="K49" s="20" t="n">
        <f aca="false">K44</f>
        <v>43801</v>
      </c>
      <c r="L49" s="21" t="n">
        <v>9555.4297</v>
      </c>
      <c r="O49" s="18" t="n">
        <f aca="false">P44</f>
        <v>43647</v>
      </c>
      <c r="P49" s="19" t="n">
        <v>1695.66</v>
      </c>
      <c r="Q49" s="20" t="n">
        <f aca="false">Q44</f>
        <v>43801</v>
      </c>
      <c r="R49" s="21" t="n">
        <v>1499.35</v>
      </c>
    </row>
    <row r="50" customFormat="false" ht="15" hidden="false" customHeight="false" outlineLevel="0" collapsed="false">
      <c r="C50" s="18" t="n">
        <f aca="false">C49+7</f>
        <v>43654</v>
      </c>
      <c r="D50" s="19" t="n">
        <v>7758.23</v>
      </c>
      <c r="E50" s="20" t="n">
        <f aca="false">E49+7</f>
        <v>43808</v>
      </c>
      <c r="F50" s="21" t="n">
        <v>7633.3101</v>
      </c>
      <c r="I50" s="18" t="n">
        <f aca="false">I49+7</f>
        <v>43654</v>
      </c>
      <c r="J50" s="19" t="n">
        <v>11791.25</v>
      </c>
      <c r="K50" s="20" t="n">
        <f aca="false">K49+7</f>
        <v>43808</v>
      </c>
      <c r="L50" s="21" t="n">
        <v>9722.0801</v>
      </c>
      <c r="O50" s="18" t="n">
        <f aca="false">O49+7</f>
        <v>43654</v>
      </c>
      <c r="P50" s="19" t="n">
        <v>1693.65</v>
      </c>
      <c r="Q50" s="20" t="n">
        <f aca="false">Q49+7</f>
        <v>43808</v>
      </c>
      <c r="R50" s="21" t="n">
        <v>1525.19</v>
      </c>
    </row>
    <row r="51" customFormat="false" ht="15" hidden="false" customHeight="false" outlineLevel="0" collapsed="false">
      <c r="C51" s="18" t="n">
        <f aca="false">C50+7</f>
        <v>43661</v>
      </c>
      <c r="D51" s="19" t="n">
        <v>7942.9199</v>
      </c>
      <c r="E51" s="20" t="n">
        <f aca="false">E50+7</f>
        <v>43815</v>
      </c>
      <c r="F51" s="21" t="n">
        <v>7599.6499</v>
      </c>
      <c r="I51" s="18" t="n">
        <f aca="false">I50+7</f>
        <v>43661</v>
      </c>
      <c r="J51" s="19" t="n">
        <v>11704.7</v>
      </c>
      <c r="K51" s="20" t="n">
        <f aca="false">K50+7</f>
        <v>43815</v>
      </c>
      <c r="L51" s="21" t="n">
        <v>9367.5898</v>
      </c>
      <c r="O51" s="18" t="n">
        <f aca="false">O50+7</f>
        <v>43661</v>
      </c>
      <c r="P51" s="19" t="n">
        <v>1681.71</v>
      </c>
      <c r="Q51" s="20" t="n">
        <f aca="false">Q50+7</f>
        <v>43815</v>
      </c>
      <c r="R51" s="21" t="n">
        <v>1533.34</v>
      </c>
    </row>
    <row r="52" customFormat="false" ht="15" hidden="false" customHeight="false" outlineLevel="0" collapsed="false">
      <c r="C52" s="18" t="n">
        <f aca="false">C51+7</f>
        <v>43668</v>
      </c>
      <c r="D52" s="19" t="n">
        <v>7999.1201</v>
      </c>
      <c r="E52" s="20" t="n">
        <f aca="false">E51+7</f>
        <v>43822</v>
      </c>
      <c r="F52" s="21" t="n">
        <v>7592.0698</v>
      </c>
      <c r="I52" s="18" t="n">
        <f aca="false">I51+7</f>
        <v>43668</v>
      </c>
      <c r="J52" s="19" t="n">
        <v>11467.74</v>
      </c>
      <c r="K52" s="20" t="n">
        <f aca="false">K51+7</f>
        <v>43822</v>
      </c>
      <c r="L52" s="21" t="n">
        <v>9635.0703</v>
      </c>
      <c r="O52" s="18" t="n">
        <f aca="false">O51+7</f>
        <v>43668</v>
      </c>
      <c r="P52" s="19" t="n">
        <v>1651.9</v>
      </c>
      <c r="Q52" s="20" t="n">
        <f aca="false">Q51+7</f>
        <v>43822</v>
      </c>
      <c r="R52" s="21" t="n">
        <v>1531.1</v>
      </c>
    </row>
    <row r="53" customFormat="false" ht="15" hidden="false" customHeight="false" outlineLevel="0" collapsed="false">
      <c r="C53" s="18" t="n">
        <f aca="false">C52+7</f>
        <v>43675</v>
      </c>
      <c r="D53" s="19" t="n">
        <v>7901.6299</v>
      </c>
      <c r="E53" s="20" t="n">
        <f aca="false">E52+7</f>
        <v>43829</v>
      </c>
      <c r="F53" s="21" t="n">
        <v>7631.7202</v>
      </c>
      <c r="I53" s="18" t="n">
        <f aca="false">I52+7</f>
        <v>43675</v>
      </c>
      <c r="J53" s="19" t="n">
        <v>11412.13</v>
      </c>
      <c r="K53" s="20" t="n">
        <f aca="false">K52+7</f>
        <v>43829</v>
      </c>
      <c r="L53" s="21" t="n">
        <v>9684.1396</v>
      </c>
      <c r="O53" s="18" t="n">
        <f aca="false">O52+7</f>
        <v>43675</v>
      </c>
      <c r="P53" s="19" t="n">
        <v>1613.12</v>
      </c>
      <c r="Q53" s="20" t="n">
        <f aca="false">Q52+7</f>
        <v>43829</v>
      </c>
      <c r="R53" s="21" t="n">
        <v>1547.27</v>
      </c>
    </row>
    <row r="54" customFormat="false" ht="15" hidden="false" customHeight="false" outlineLevel="0" collapsed="false">
      <c r="C54" s="18" t="n">
        <f aca="false">C53+7</f>
        <v>43682</v>
      </c>
      <c r="D54" s="19" t="n">
        <v>7630.4199</v>
      </c>
      <c r="E54" s="20" t="n">
        <f aca="false">E53+7</f>
        <v>43836</v>
      </c>
      <c r="F54" s="21" t="n">
        <v>7635.4502</v>
      </c>
      <c r="I54" s="18" t="n">
        <f aca="false">I53+7</f>
        <v>43682</v>
      </c>
      <c r="J54" s="19" t="n">
        <v>10804.27</v>
      </c>
      <c r="K54" s="20" t="n">
        <f aca="false">K53+7</f>
        <v>43836</v>
      </c>
      <c r="L54" s="21" t="n">
        <v>9364.4805</v>
      </c>
      <c r="O54" s="18" t="n">
        <f aca="false">O53+7</f>
        <v>43682</v>
      </c>
      <c r="P54" s="19" t="n">
        <v>1591.59</v>
      </c>
      <c r="Q54" s="20" t="n">
        <f aca="false">Q53+7</f>
        <v>43836</v>
      </c>
      <c r="R54" s="21" t="n">
        <v>1555.66</v>
      </c>
    </row>
    <row r="55" customFormat="false" ht="15" hidden="false" customHeight="false" outlineLevel="0" collapsed="false">
      <c r="C55" s="18" t="n">
        <f aca="false">C54+7</f>
        <v>43689</v>
      </c>
      <c r="D55" s="19" t="n">
        <v>7727</v>
      </c>
      <c r="E55" s="20" t="n">
        <f aca="false">E54+7</f>
        <v>43843</v>
      </c>
      <c r="F55" s="21" t="n">
        <v>7475.5898</v>
      </c>
      <c r="I55" s="18" t="n">
        <f aca="false">I54+7</f>
        <v>43689</v>
      </c>
      <c r="J55" s="19" t="n">
        <v>10844.32</v>
      </c>
      <c r="K55" s="20" t="n">
        <f aca="false">K54+7</f>
        <v>43843</v>
      </c>
      <c r="L55" s="21" t="n">
        <v>9477.4199</v>
      </c>
      <c r="O55" s="18" t="n">
        <f aca="false">O54+7</f>
        <v>43689</v>
      </c>
      <c r="P55" s="19" t="n">
        <v>1568.85</v>
      </c>
      <c r="Q55" s="20" t="n">
        <f aca="false">Q54+7</f>
        <v>43843</v>
      </c>
      <c r="R55" s="21" t="n">
        <v>1564.02</v>
      </c>
    </row>
    <row r="56" customFormat="false" ht="15" hidden="false" customHeight="false" outlineLevel="0" collapsed="false">
      <c r="C56" s="18" t="n">
        <f aca="false">C55+7</f>
        <v>43696</v>
      </c>
      <c r="D56" s="19" t="n">
        <v>7772.54</v>
      </c>
      <c r="E56" s="20" t="n">
        <f aca="false">E55+7</f>
        <v>43850</v>
      </c>
      <c r="F56" s="21" t="n">
        <v>7348.3599</v>
      </c>
      <c r="I56" s="18" t="n">
        <f aca="false">I55+7</f>
        <v>43696</v>
      </c>
      <c r="J56" s="19" t="n">
        <v>10997</v>
      </c>
      <c r="K56" s="20" t="n">
        <f aca="false">K55+7</f>
        <v>43850</v>
      </c>
      <c r="L56" s="21" t="n">
        <v>9728.7197</v>
      </c>
      <c r="O56" s="18" t="n">
        <f aca="false">O55+7</f>
        <v>43696</v>
      </c>
      <c r="P56" s="19" t="n">
        <v>1589.89</v>
      </c>
      <c r="Q56" s="20" t="n">
        <f aca="false">Q55+7</f>
        <v>43850</v>
      </c>
      <c r="R56" s="21" t="n">
        <v>1544.66</v>
      </c>
    </row>
    <row r="57" customFormat="false" ht="15" hidden="false" customHeight="false" outlineLevel="0" collapsed="false">
      <c r="C57" s="18" t="n">
        <f aca="false">C56+7</f>
        <v>43703</v>
      </c>
      <c r="D57" s="19" t="n">
        <v>7922.8599</v>
      </c>
      <c r="E57" s="20" t="n">
        <f aca="false">E56+7</f>
        <v>43857</v>
      </c>
      <c r="F57" s="21" t="n">
        <v>6900.3101</v>
      </c>
      <c r="I57" s="18" t="n">
        <f aca="false">I56+7</f>
        <v>43703</v>
      </c>
      <c r="J57" s="19" t="n">
        <v>11126.3</v>
      </c>
      <c r="K57" s="20" t="n">
        <f aca="false">K56+7</f>
        <v>43857</v>
      </c>
      <c r="L57" s="21" t="n">
        <v>8921.4404</v>
      </c>
      <c r="O57" s="18" t="n">
        <f aca="false">O56+7</f>
        <v>43703</v>
      </c>
      <c r="P57" s="19" t="n">
        <v>1623.75</v>
      </c>
      <c r="Q57" s="20" t="n">
        <f aca="false">Q56+7</f>
        <v>43857</v>
      </c>
      <c r="R57" s="21" t="n">
        <v>1475.16</v>
      </c>
    </row>
    <row r="58" customFormat="false" ht="15" hidden="false" customHeight="false" outlineLevel="0" collapsed="false">
      <c r="C58" s="18" t="n">
        <f aca="false">C57+7</f>
        <v>43710</v>
      </c>
      <c r="D58" s="19" t="n">
        <v>7908.1401</v>
      </c>
      <c r="E58" s="20" t="n">
        <f aca="false">E57+7</f>
        <v>43864</v>
      </c>
      <c r="F58" s="21" t="n">
        <v>7146.0098</v>
      </c>
      <c r="I58" s="18" t="n">
        <f aca="false">I57+7</f>
        <v>43710</v>
      </c>
      <c r="J58" s="19" t="n">
        <v>10915.02</v>
      </c>
      <c r="K58" s="20" t="n">
        <f aca="false">K57+7</f>
        <v>43864</v>
      </c>
      <c r="L58" s="21" t="n">
        <v>9391.6797</v>
      </c>
      <c r="O58" s="18" t="n">
        <f aca="false">O57+7</f>
        <v>43710</v>
      </c>
      <c r="P58" s="19" t="n">
        <v>1594.99</v>
      </c>
      <c r="Q58" s="20" t="n">
        <f aca="false">Q57+7</f>
        <v>43864</v>
      </c>
      <c r="R58" s="21" t="n">
        <v>1502.87</v>
      </c>
    </row>
    <row r="59" customFormat="false" ht="15" hidden="false" customHeight="false" outlineLevel="0" collapsed="false">
      <c r="C59" s="18" t="n">
        <f aca="false">C58+7</f>
        <v>43717</v>
      </c>
      <c r="D59" s="19" t="n">
        <v>7918.5898</v>
      </c>
      <c r="E59" s="20" t="n">
        <f aca="false">E58+7</f>
        <v>43871</v>
      </c>
      <c r="F59" s="21" t="n">
        <v>7051.9702</v>
      </c>
      <c r="I59" s="18" t="n">
        <f aca="false">I58+7</f>
        <v>43717</v>
      </c>
      <c r="J59" s="19" t="n">
        <v>11011.94</v>
      </c>
      <c r="K59" s="20" t="n">
        <f aca="false">K58+7</f>
        <v>43871</v>
      </c>
      <c r="L59" s="21" t="n">
        <v>8936.6396</v>
      </c>
      <c r="O59" s="18" t="n">
        <f aca="false">O58+7</f>
        <v>43717</v>
      </c>
      <c r="P59" s="19" t="n">
        <v>1623.61</v>
      </c>
      <c r="Q59" s="20" t="n">
        <f aca="false">Q58+7</f>
        <v>43871</v>
      </c>
      <c r="R59" s="21" t="n">
        <v>1440.3</v>
      </c>
    </row>
    <row r="60" customFormat="false" ht="15" hidden="false" customHeight="false" outlineLevel="0" collapsed="false">
      <c r="C60" s="18" t="n">
        <f aca="false">C59+7</f>
        <v>43724</v>
      </c>
      <c r="D60" s="19" t="n">
        <v>7849.1001</v>
      </c>
      <c r="E60" s="20" t="n">
        <f aca="false">E59+7</f>
        <v>43878</v>
      </c>
      <c r="F60" s="21" t="n">
        <v>7218.98</v>
      </c>
      <c r="I60" s="18" t="n">
        <f aca="false">I59+7</f>
        <v>43724</v>
      </c>
      <c r="J60" s="19" t="n">
        <v>10938.94</v>
      </c>
      <c r="K60" s="20" t="n">
        <f aca="false">K59+7</f>
        <v>43878</v>
      </c>
      <c r="L60" s="21" t="n">
        <v>8987.0801</v>
      </c>
      <c r="O60" s="18" t="n">
        <f aca="false">O59+7</f>
        <v>43724</v>
      </c>
      <c r="P60" s="19" t="n">
        <v>1588.84</v>
      </c>
      <c r="Q60" s="20" t="n">
        <f aca="false">Q59+7</f>
        <v>43878</v>
      </c>
      <c r="R60" s="21" t="n">
        <v>1444.81</v>
      </c>
    </row>
    <row r="61" customFormat="false" ht="15" hidden="false" customHeight="false" outlineLevel="0" collapsed="false">
      <c r="C61" s="18" t="n">
        <f aca="false">C60+7</f>
        <v>43731</v>
      </c>
      <c r="D61" s="19" t="n">
        <v>7723.4399</v>
      </c>
      <c r="E61" s="20" t="n">
        <f aca="false">E60+7</f>
        <v>43885</v>
      </c>
      <c r="F61" s="21" t="n">
        <v>6627.0801</v>
      </c>
      <c r="I61" s="18" t="n">
        <f aca="false">I60+7</f>
        <v>43731</v>
      </c>
      <c r="J61" s="19" t="n">
        <v>10556.72</v>
      </c>
      <c r="K61" s="20" t="n">
        <f aca="false">K60+7</f>
        <v>43885</v>
      </c>
      <c r="L61" s="21" t="n">
        <v>8351.4805</v>
      </c>
      <c r="O61" s="18" t="n">
        <f aca="false">O60+7</f>
        <v>43731</v>
      </c>
      <c r="P61" s="19" t="n">
        <v>1544.02</v>
      </c>
      <c r="Q61" s="20" t="n">
        <f aca="false">Q60+7</f>
        <v>43885</v>
      </c>
      <c r="R61" s="21" t="n">
        <v>1351.38</v>
      </c>
    </row>
    <row r="62" customFormat="false" ht="15" hidden="false" customHeight="false" outlineLevel="0" collapsed="false">
      <c r="C62" s="18" t="n">
        <f aca="false">C61+7</f>
        <v>43738</v>
      </c>
      <c r="D62" s="19" t="n">
        <v>7551.5801</v>
      </c>
      <c r="E62" s="20" t="n">
        <f aca="false">E61+7</f>
        <v>43892</v>
      </c>
      <c r="F62" s="21" t="n">
        <v>6612.2598</v>
      </c>
      <c r="I62" s="18" t="n">
        <f aca="false">I61+7</f>
        <v>43738</v>
      </c>
      <c r="J62" s="19" t="n">
        <v>10477.26</v>
      </c>
      <c r="K62" s="20" t="n">
        <f aca="false">K61+7</f>
        <v>43892</v>
      </c>
      <c r="L62" s="21" t="n">
        <v>8114.0698</v>
      </c>
      <c r="O62" s="18" t="n">
        <f aca="false">O61+7</f>
        <v>43738</v>
      </c>
      <c r="P62" s="19" t="n">
        <v>1510.64</v>
      </c>
      <c r="Q62" s="20" t="n">
        <f aca="false">Q61+7</f>
        <v>43892</v>
      </c>
      <c r="R62" s="21" t="n">
        <v>1330.54</v>
      </c>
    </row>
    <row r="63" customFormat="false" ht="15" hidden="false" customHeight="false" outlineLevel="0" collapsed="false">
      <c r="C63" s="18" t="n">
        <f aca="false">C62+7</f>
        <v>43745</v>
      </c>
      <c r="D63" s="19" t="n">
        <v>7670.3799</v>
      </c>
      <c r="E63" s="20" t="n">
        <f aca="false">E62+7</f>
        <v>43899</v>
      </c>
      <c r="F63" s="21" t="n">
        <v>5673.6499</v>
      </c>
      <c r="I63" s="18" t="n">
        <f aca="false">I62+7</f>
        <v>43745</v>
      </c>
      <c r="J63" s="19" t="n">
        <v>10677.38</v>
      </c>
      <c r="K63" s="20" t="n">
        <f aca="false">K62+7</f>
        <v>43899</v>
      </c>
      <c r="L63" s="21" t="n">
        <v>7071.1099</v>
      </c>
      <c r="O63" s="18" t="n">
        <f aca="false">O62+7</f>
        <v>43745</v>
      </c>
      <c r="P63" s="19" t="n">
        <v>1526.32</v>
      </c>
      <c r="Q63" s="20" t="n">
        <f aca="false">Q62+7</f>
        <v>43899</v>
      </c>
      <c r="R63" s="21" t="n">
        <v>1187.61</v>
      </c>
    </row>
    <row r="64" customFormat="false" ht="15" hidden="false" customHeight="false" outlineLevel="0" collapsed="false">
      <c r="C64" s="18" t="n">
        <f aca="false">C63+7</f>
        <v>43752</v>
      </c>
      <c r="D64" s="19" t="n">
        <v>7676.8901</v>
      </c>
      <c r="E64" s="20" t="n">
        <f aca="false">E63+7</f>
        <v>43906</v>
      </c>
      <c r="F64" s="21" t="n">
        <v>4602.0601</v>
      </c>
      <c r="I64" s="18" t="n">
        <f aca="false">I63+7</f>
        <v>43752</v>
      </c>
      <c r="J64" s="19" t="n">
        <v>10643.01</v>
      </c>
      <c r="K64" s="20" t="n">
        <f aca="false">K63+7</f>
        <v>43906</v>
      </c>
      <c r="L64" s="21" t="n">
        <v>6022.6499</v>
      </c>
      <c r="O64" s="18" t="n">
        <f aca="false">O63+7</f>
        <v>43752</v>
      </c>
      <c r="P64" s="19" t="n">
        <v>1530.25</v>
      </c>
      <c r="Q64" s="20" t="n">
        <f aca="false">Q63+7</f>
        <v>43906</v>
      </c>
      <c r="R64" s="21" t="n">
        <v>1037.71</v>
      </c>
    </row>
    <row r="65" customFormat="false" ht="15" hidden="false" customHeight="false" outlineLevel="0" collapsed="false">
      <c r="C65" s="18" t="n">
        <f aca="false">C64+7</f>
        <v>43759</v>
      </c>
      <c r="D65" s="19" t="n">
        <v>7745.04</v>
      </c>
      <c r="E65" s="20" t="n">
        <f aca="false">E64+7</f>
        <v>43913</v>
      </c>
      <c r="F65" s="21" t="n">
        <v>5142.1099</v>
      </c>
      <c r="I65" s="18" t="n">
        <f aca="false">I64+7</f>
        <v>43759</v>
      </c>
      <c r="J65" s="19" t="n">
        <v>10470.07</v>
      </c>
      <c r="K65" s="20" t="n">
        <f aca="false">K64+7</f>
        <v>43913</v>
      </c>
      <c r="L65" s="21" t="n">
        <v>6204.54</v>
      </c>
      <c r="O65" s="18" t="n">
        <f aca="false">O64+7</f>
        <v>43759</v>
      </c>
      <c r="P65" s="19" t="n">
        <v>1531.53</v>
      </c>
      <c r="Q65" s="20" t="n">
        <f aca="false">Q64+7</f>
        <v>43913</v>
      </c>
      <c r="R65" s="21" t="n">
        <v>1177.27</v>
      </c>
    </row>
    <row r="66" customFormat="false" ht="15" hidden="false" customHeight="false" outlineLevel="0" collapsed="false">
      <c r="C66" s="18" t="n">
        <f aca="false">C65+7</f>
        <v>43766</v>
      </c>
      <c r="D66" s="19" t="n">
        <v>7830.2998</v>
      </c>
      <c r="E66" s="20" t="n">
        <f aca="false">E65+7</f>
        <v>43920</v>
      </c>
      <c r="F66" s="21" t="n">
        <v>5265.52</v>
      </c>
      <c r="I66" s="18" t="n">
        <f aca="false">I65+7</f>
        <v>43766</v>
      </c>
      <c r="J66" s="19" t="n">
        <v>10470.94</v>
      </c>
      <c r="K66" s="20" t="n">
        <f aca="false">K65+7</f>
        <v>43920</v>
      </c>
      <c r="L66" s="21" t="n">
        <v>6433.9702</v>
      </c>
      <c r="O66" s="18" t="n">
        <f aca="false">O65+7</f>
        <v>43766</v>
      </c>
      <c r="P66" s="19" t="n">
        <v>1513.05</v>
      </c>
      <c r="Q66" s="20" t="n">
        <f aca="false">Q65+7</f>
        <v>43920</v>
      </c>
      <c r="R66" s="21" t="n">
        <v>1188.9</v>
      </c>
    </row>
    <row r="67" customFormat="false" ht="15" hidden="false" customHeight="false" outlineLevel="0" collapsed="false">
      <c r="C67" s="18" t="n">
        <f aca="false">C66+7</f>
        <v>43773</v>
      </c>
      <c r="D67" s="19" t="n">
        <v>7933.3198</v>
      </c>
      <c r="E67" s="20" t="n">
        <f aca="false">E66+7</f>
        <v>43927</v>
      </c>
      <c r="F67" s="21" t="n">
        <v>5510.79</v>
      </c>
      <c r="I67" s="18" t="n">
        <f aca="false">I66+7</f>
        <v>43773</v>
      </c>
      <c r="J67" s="19" t="n">
        <v>10478.33</v>
      </c>
      <c r="K67" s="20" t="n">
        <f aca="false">K66+7</f>
        <v>43927</v>
      </c>
      <c r="L67" s="21" t="n">
        <v>7073.1602</v>
      </c>
      <c r="O67" s="18" t="n">
        <f aca="false">O66+7</f>
        <v>43773</v>
      </c>
      <c r="P67" s="19" t="n">
        <v>1551.96</v>
      </c>
      <c r="Q67" s="20" t="n">
        <f aca="false">Q66+7</f>
        <v>43927</v>
      </c>
      <c r="R67" s="21" t="n">
        <v>1222.24</v>
      </c>
    </row>
    <row r="68" customFormat="false" ht="15" hidden="false" customHeight="false" outlineLevel="0" collapsed="false">
      <c r="C68" s="18" t="n">
        <f aca="false">C67+7</f>
        <v>43780</v>
      </c>
      <c r="D68" s="19" t="n">
        <v>7810.4199</v>
      </c>
      <c r="E68" s="20" t="n">
        <f aca="false">E67+7</f>
        <v>43934</v>
      </c>
      <c r="F68" s="21" t="n">
        <v>5731.7202</v>
      </c>
      <c r="I68" s="18" t="n">
        <f aca="false">I67+7</f>
        <v>43780</v>
      </c>
      <c r="J68" s="19" t="n">
        <v>10082.34</v>
      </c>
      <c r="K68" s="20" t="n">
        <f aca="false">K67+7</f>
        <v>43934</v>
      </c>
      <c r="L68" s="21" t="n">
        <v>7566.8198</v>
      </c>
      <c r="O68" s="18" t="n">
        <f aca="false">O67+7</f>
        <v>43780</v>
      </c>
      <c r="P68" s="19" t="n">
        <v>1547.47</v>
      </c>
      <c r="Q68" s="20" t="n">
        <f aca="false">Q67+7</f>
        <v>43934</v>
      </c>
      <c r="R68" s="21" t="n">
        <v>1294.84</v>
      </c>
    </row>
    <row r="69" customFormat="false" ht="15" hidden="false" customHeight="false" outlineLevel="0" collapsed="false">
      <c r="C69" s="18" t="n">
        <f aca="false">C68+7</f>
        <v>43787</v>
      </c>
      <c r="D69" s="19" t="n">
        <v>7756.9302</v>
      </c>
      <c r="E69" s="20" t="n">
        <f aca="false">E68+7</f>
        <v>43941</v>
      </c>
      <c r="F69" s="21" t="n">
        <v>5361.7798</v>
      </c>
      <c r="I69" s="18" t="n">
        <f aca="false">I68+7</f>
        <v>43787</v>
      </c>
      <c r="J69" s="19" t="n">
        <v>9911.6201</v>
      </c>
      <c r="K69" s="20" t="n">
        <f aca="false">K68+7</f>
        <v>43941</v>
      </c>
      <c r="L69" s="21" t="n">
        <v>7209.48</v>
      </c>
      <c r="O69" s="18" t="n">
        <f aca="false">O68+7</f>
        <v>43787</v>
      </c>
      <c r="P69" s="19" t="n">
        <v>1549.7</v>
      </c>
      <c r="Q69" s="20" t="n">
        <f aca="false">Q68+7</f>
        <v>43941</v>
      </c>
      <c r="R69" s="21" t="n">
        <v>1300.57</v>
      </c>
    </row>
    <row r="70" customFormat="false" ht="15" hidden="false" customHeight="false" outlineLevel="0" collapsed="false">
      <c r="C70" s="18" t="n">
        <f aca="false">C69+7</f>
        <v>43794</v>
      </c>
      <c r="D70" s="19" t="n">
        <v>7630.4302</v>
      </c>
      <c r="E70" s="20" t="n">
        <f aca="false">E69+7</f>
        <v>43948</v>
      </c>
      <c r="F70" s="21" t="n">
        <v>5544.29</v>
      </c>
      <c r="I70" s="18" t="n">
        <f aca="false">I69+7</f>
        <v>43794</v>
      </c>
      <c r="J70" s="19" t="n">
        <v>9781.29</v>
      </c>
      <c r="K70" s="20" t="n">
        <f aca="false">K69+7</f>
        <v>43948</v>
      </c>
      <c r="L70" s="21" t="n">
        <v>7474.9302</v>
      </c>
      <c r="O70" s="18" t="n">
        <f aca="false">O69+7</f>
        <v>43794</v>
      </c>
      <c r="P70" s="19" t="n">
        <v>1546.48</v>
      </c>
      <c r="Q70" s="20" t="n">
        <f aca="false">Q69+7</f>
        <v>43948</v>
      </c>
      <c r="R70" s="21" t="n">
        <v>1373.82</v>
      </c>
    </row>
    <row r="71" customFormat="false" ht="15" hidden="false" customHeight="false" outlineLevel="0" collapsed="false">
      <c r="E71" s="20" t="n">
        <f aca="false">E70+7</f>
        <v>43955</v>
      </c>
      <c r="F71" s="21" t="n">
        <v>5532.27</v>
      </c>
      <c r="K71" s="20" t="n">
        <f aca="false">K70+7</f>
        <v>43955</v>
      </c>
      <c r="L71" s="21" t="n">
        <v>7326.79</v>
      </c>
      <c r="Q71" s="20" t="n">
        <f aca="false">Q70+7</f>
        <v>43955</v>
      </c>
      <c r="R71" s="21" t="n">
        <v>1322.68</v>
      </c>
    </row>
    <row r="72" customFormat="false" ht="15" hidden="false" customHeight="false" outlineLevel="0" collapsed="false">
      <c r="E72" s="20" t="n">
        <f aca="false">E71+7</f>
        <v>43962</v>
      </c>
      <c r="F72" s="21" t="n">
        <v>5437.0898</v>
      </c>
      <c r="K72" s="20" t="n">
        <f aca="false">K71+7</f>
        <v>43962</v>
      </c>
      <c r="L72" s="21" t="n">
        <v>7506.6699</v>
      </c>
      <c r="Q72" s="20" t="n">
        <f aca="false">Q71+7</f>
        <v>43962</v>
      </c>
      <c r="R72" s="21" t="n">
        <v>1314.04</v>
      </c>
    </row>
    <row r="73" customFormat="false" ht="15" hidden="false" customHeight="false" outlineLevel="0" collapsed="false">
      <c r="E73" s="20" t="n">
        <f aca="false">E72+7</f>
        <v>43969</v>
      </c>
      <c r="F73" s="21" t="n">
        <v>5540.4399</v>
      </c>
      <c r="K73" s="20" t="n">
        <f aca="false">K72+7</f>
        <v>43969</v>
      </c>
      <c r="L73" s="21" t="n">
        <v>7304.8101</v>
      </c>
      <c r="Q73" s="20" t="n">
        <f aca="false">Q72+7</f>
        <v>43969</v>
      </c>
      <c r="R73" s="21" t="n">
        <v>1322.13</v>
      </c>
    </row>
    <row r="74" customFormat="false" ht="15" hidden="false" customHeight="false" outlineLevel="0" collapsed="false">
      <c r="E74" s="20" t="n">
        <f aca="false">E73+7</f>
        <v>43976</v>
      </c>
      <c r="F74" s="21" t="n">
        <v>5946.52</v>
      </c>
      <c r="K74" s="20" t="n">
        <f aca="false">K73+7</f>
        <v>43976</v>
      </c>
      <c r="L74" s="21" t="n">
        <v>7311.0898</v>
      </c>
      <c r="Q74" s="20" t="n">
        <f aca="false">Q73+7</f>
        <v>43976</v>
      </c>
      <c r="R74" s="21" t="n">
        <v>1362.44</v>
      </c>
    </row>
  </sheetData>
  <mergeCells count="35">
    <mergeCell ref="C2:F2"/>
    <mergeCell ref="I2:L2"/>
    <mergeCell ref="O2:R2"/>
    <mergeCell ref="U2:X2"/>
    <mergeCell ref="C3:E3"/>
    <mergeCell ref="I3:K3"/>
    <mergeCell ref="O3:Q3"/>
    <mergeCell ref="D4:E4"/>
    <mergeCell ref="J4:K4"/>
    <mergeCell ref="P4:Q4"/>
    <mergeCell ref="D5:E5"/>
    <mergeCell ref="J5:K5"/>
    <mergeCell ref="P5:Q5"/>
    <mergeCell ref="I10:J10"/>
    <mergeCell ref="K10:L10"/>
    <mergeCell ref="O10:P10"/>
    <mergeCell ref="Q10:R10"/>
    <mergeCell ref="C39:F39"/>
    <mergeCell ref="I39:L39"/>
    <mergeCell ref="O39:R39"/>
    <mergeCell ref="C40:E40"/>
    <mergeCell ref="I40:K40"/>
    <mergeCell ref="O40:Q40"/>
    <mergeCell ref="D41:E41"/>
    <mergeCell ref="J41:K41"/>
    <mergeCell ref="P41:Q41"/>
    <mergeCell ref="D42:E42"/>
    <mergeCell ref="J42:K42"/>
    <mergeCell ref="P42:Q42"/>
    <mergeCell ref="C47:D47"/>
    <mergeCell ref="E47:F47"/>
    <mergeCell ref="I47:J47"/>
    <mergeCell ref="K47:L47"/>
    <mergeCell ref="O47:P47"/>
    <mergeCell ref="Q47:R47"/>
  </mergeCells>
  <hyperlinks>
    <hyperlink ref="D9" r:id="rId1" display="https://www.tradingview.com/chart/CRSXnWRx/?symbol=PSE%3APRO"/>
    <hyperlink ref="J9" r:id="rId2" display="https://www.tradingview.com/chart/CRSXnWRx/?symbol=PH+MINING+AND+OIL"/>
    <hyperlink ref="P9" r:id="rId3" display="https://www.tradingview.com/chart/CRSXnWRx/?symbol=PSE%3AFIN"/>
    <hyperlink ref="D46" r:id="rId4" display="https://www.tradingview.com/chart/CRSXnWRx/?symbol=PSE%3AHDG"/>
    <hyperlink ref="J46" r:id="rId5" display=" https://www.tradingview.com/chart/CRSXnWRx/?symbol=PSE%3AIND"/>
    <hyperlink ref="P46" r:id="rId6" display="https://www.tradingview.com/chart/?symbol=PSE%3ASVC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2:AJ708"/>
  <sheetViews>
    <sheetView showFormulas="false" showGridLines="true" showRowColHeaders="true" showZeros="true" rightToLeft="false" tabSelected="true" showOutlineSymbols="true" defaultGridColor="true" view="normal" topLeftCell="G37" colorId="64" zoomScale="85" zoomScaleNormal="85" zoomScalePageLayoutView="100" workbookViewId="0">
      <selection pane="topLeft" activeCell="P56" activeCellId="0" sqref="P56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1" width="14.72"/>
    <col collapsed="false" customWidth="true" hidden="false" outlineLevel="0" max="3" min="3" style="1" width="11.43"/>
    <col collapsed="false" customWidth="true" hidden="false" outlineLevel="0" max="4" min="4" style="1" width="12.29"/>
    <col collapsed="false" customWidth="true" hidden="false" outlineLevel="0" max="5" min="5" style="1" width="11.57"/>
    <col collapsed="false" customWidth="true" hidden="false" outlineLevel="0" max="6" min="6" style="1" width="19.17"/>
    <col collapsed="false" customWidth="true" hidden="false" outlineLevel="0" max="7" min="7" style="1" width="9.29"/>
    <col collapsed="false" customWidth="true" hidden="false" outlineLevel="0" max="11" min="11" style="1" width="12.43"/>
    <col collapsed="false" customWidth="true" hidden="false" outlineLevel="0" max="12" min="12" style="1" width="14.57"/>
    <col collapsed="false" customWidth="true" hidden="false" outlineLevel="0" max="13" min="13" style="1" width="23.41"/>
    <col collapsed="false" customWidth="true" hidden="false" outlineLevel="0" max="14" min="14" style="1" width="19"/>
    <col collapsed="false" customWidth="true" hidden="false" outlineLevel="0" max="15" min="15" style="1" width="19.85"/>
    <col collapsed="false" customWidth="true" hidden="false" outlineLevel="0" max="17" min="16" style="1" width="13.86"/>
    <col collapsed="false" customWidth="true" hidden="false" outlineLevel="0" max="18" min="18" style="1" width="21.72"/>
    <col collapsed="false" customWidth="true" hidden="false" outlineLevel="0" max="20" min="20" style="1" width="12.57"/>
    <col collapsed="false" customWidth="true" hidden="false" outlineLevel="0" max="21" min="21" style="1" width="13.29"/>
    <col collapsed="false" customWidth="true" hidden="false" outlineLevel="0" max="22" min="22" style="1" width="19.57"/>
    <col collapsed="false" customWidth="true" hidden="false" outlineLevel="0" max="23" min="23" style="1" width="18.14"/>
    <col collapsed="false" customWidth="true" hidden="false" outlineLevel="0" max="24" min="24" style="1" width="15"/>
    <col collapsed="false" customWidth="true" hidden="false" outlineLevel="0" max="25" min="25" style="1" width="15.14"/>
    <col collapsed="false" customWidth="true" hidden="false" outlineLevel="0" max="26" min="26" style="1" width="17.71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29" min="29" style="1" width="19.57"/>
    <col collapsed="false" customWidth="true" hidden="false" outlineLevel="0" max="30" min="30" style="1" width="18.29"/>
    <col collapsed="false" customWidth="true" hidden="false" outlineLevel="0" max="31" min="31" style="1" width="17.43"/>
    <col collapsed="false" customWidth="true" hidden="false" outlineLevel="0" max="32" min="32" style="1" width="20.14"/>
    <col collapsed="false" customWidth="true" hidden="false" outlineLevel="0" max="33" min="33" style="1" width="19.14"/>
    <col collapsed="false" customWidth="true" hidden="false" outlineLevel="0" max="34" min="34" style="1" width="16.72"/>
    <col collapsed="false" customWidth="true" hidden="false" outlineLevel="0" max="35" min="35" style="1" width="14"/>
    <col collapsed="false" customWidth="true" hidden="false" outlineLevel="0" max="36" min="36" style="1" width="16.86"/>
  </cols>
  <sheetData>
    <row r="2" customFormat="false" ht="15" hidden="false" customHeight="false" outlineLevel="0" collapsed="false">
      <c r="B2" s="25" t="s">
        <v>33</v>
      </c>
      <c r="C2" s="25"/>
      <c r="D2" s="25"/>
      <c r="E2" s="25"/>
      <c r="F2" s="25"/>
      <c r="G2" s="25"/>
      <c r="H2" s="25"/>
      <c r="J2" s="26" t="s">
        <v>34</v>
      </c>
      <c r="K2" s="26"/>
      <c r="L2" s="26"/>
      <c r="M2" s="26"/>
      <c r="O2" s="27" t="s">
        <v>35</v>
      </c>
      <c r="P2" s="27"/>
      <c r="Q2" s="27"/>
      <c r="R2" s="27"/>
      <c r="T2" s="28" t="s">
        <v>36</v>
      </c>
      <c r="U2" s="28"/>
      <c r="V2" s="28"/>
      <c r="W2" s="28"/>
      <c r="X2" s="28"/>
      <c r="Y2" s="28"/>
      <c r="Z2" s="28"/>
      <c r="AA2" s="28"/>
      <c r="AB2" s="28"/>
      <c r="AC2" s="28"/>
      <c r="AD2" s="29"/>
      <c r="AE2" s="29"/>
      <c r="AF2" s="29" t="s">
        <v>37</v>
      </c>
      <c r="AG2" s="29" t="s">
        <v>38</v>
      </c>
      <c r="AH2" s="29" t="s">
        <v>39</v>
      </c>
      <c r="AI2" s="29" t="s">
        <v>40</v>
      </c>
      <c r="AJ2" s="29" t="s">
        <v>41</v>
      </c>
    </row>
    <row r="3" customFormat="false" ht="52.5" hidden="false" customHeight="true" outlineLevel="0" collapsed="false">
      <c r="B3" s="30"/>
      <c r="C3" s="31" t="s">
        <v>0</v>
      </c>
      <c r="D3" s="31" t="s">
        <v>42</v>
      </c>
      <c r="E3" s="31" t="s">
        <v>2</v>
      </c>
      <c r="F3" s="31" t="s">
        <v>24</v>
      </c>
      <c r="G3" s="31" t="s">
        <v>25</v>
      </c>
      <c r="H3" s="31" t="s">
        <v>26</v>
      </c>
      <c r="J3" s="13"/>
      <c r="K3" s="15" t="s">
        <v>43</v>
      </c>
      <c r="L3" s="15"/>
      <c r="M3" s="13"/>
      <c r="O3" s="32"/>
      <c r="P3" s="5" t="s">
        <v>43</v>
      </c>
      <c r="Q3" s="5"/>
      <c r="R3" s="32"/>
      <c r="T3" s="33" t="s">
        <v>44</v>
      </c>
      <c r="U3" s="33"/>
      <c r="V3" s="34" t="s">
        <v>45</v>
      </c>
      <c r="W3" s="35" t="s">
        <v>46</v>
      </c>
      <c r="X3" s="33" t="s">
        <v>47</v>
      </c>
      <c r="Y3" s="35" t="s">
        <v>48</v>
      </c>
      <c r="Z3" s="34" t="s">
        <v>49</v>
      </c>
      <c r="AA3" s="33" t="s">
        <v>50</v>
      </c>
      <c r="AB3" s="36" t="s">
        <v>51</v>
      </c>
      <c r="AC3" s="36" t="s">
        <v>52</v>
      </c>
      <c r="AD3" s="29" t="s">
        <v>53</v>
      </c>
      <c r="AE3" s="29" t="s">
        <v>54</v>
      </c>
      <c r="AF3" s="37" t="s">
        <v>55</v>
      </c>
      <c r="AG3" s="38" t="s">
        <v>56</v>
      </c>
      <c r="AH3" s="37" t="s">
        <v>57</v>
      </c>
      <c r="AI3" s="29" t="s">
        <v>58</v>
      </c>
      <c r="AJ3" s="39" t="s">
        <v>59</v>
      </c>
    </row>
    <row r="4" customFormat="false" ht="15" hidden="false" customHeight="false" outlineLevel="0" collapsed="false">
      <c r="B4" s="6" t="s">
        <v>0</v>
      </c>
      <c r="C4" s="40" t="n">
        <v>1</v>
      </c>
      <c r="D4" s="41" t="n">
        <f aca="false">AJ4</f>
        <v>0.289601069375887</v>
      </c>
      <c r="E4" s="41" t="n">
        <f aca="false">AJ51</f>
        <v>0.40029070661885</v>
      </c>
      <c r="F4" s="41" t="n">
        <f aca="false">AJ98</f>
        <v>0.427268116077046</v>
      </c>
      <c r="G4" s="41" t="n">
        <f aca="false">AJ145</f>
        <v>0.447992040176785</v>
      </c>
      <c r="H4" s="41" t="n">
        <f aca="false">AJ192</f>
        <v>0.206448774284328</v>
      </c>
      <c r="J4" s="13" t="s">
        <v>60</v>
      </c>
      <c r="K4" s="13" t="s">
        <v>45</v>
      </c>
      <c r="L4" s="13" t="s">
        <v>46</v>
      </c>
      <c r="M4" s="13" t="s">
        <v>61</v>
      </c>
      <c r="O4" s="42" t="s">
        <v>60</v>
      </c>
      <c r="P4" s="42" t="s">
        <v>45</v>
      </c>
      <c r="Q4" s="42" t="s">
        <v>46</v>
      </c>
      <c r="R4" s="42" t="s">
        <v>61</v>
      </c>
      <c r="T4" s="34" t="s">
        <v>0</v>
      </c>
      <c r="U4" s="35" t="s">
        <v>1</v>
      </c>
      <c r="V4" s="12" t="n">
        <f aca="false" t="array" ref="V4:V24">'Data Gathering and ect'!F11:F31</f>
        <v>0.0100368413849186</v>
      </c>
      <c r="W4" s="12" t="n">
        <f aca="false" t="array" ref="W4:W24">'Data Gathering and ect'!F74:F94</f>
        <v>-0.000286358642627604</v>
      </c>
      <c r="X4" s="12" t="n">
        <f aca="false">PRODUCT(V4:W4)</f>
        <v>-2.87413627525385E-006</v>
      </c>
      <c r="Y4" s="43" t="n">
        <f aca="false">SUM(V4:V24)</f>
        <v>-0.0798562361055913</v>
      </c>
      <c r="Z4" s="43" t="n">
        <f aca="false">SUM(W4:W24)</f>
        <v>0.0794021395412607</v>
      </c>
      <c r="AA4" s="43" t="n">
        <f aca="false">SUM(X4:X24)</f>
        <v>0.00404546299502926</v>
      </c>
      <c r="AB4" s="43" t="n">
        <f aca="false">Y4*Z4</f>
        <v>-0.00634075600249602</v>
      </c>
      <c r="AC4" s="43" t="n">
        <f aca="false">COUNT(V4:V24)</f>
        <v>21</v>
      </c>
      <c r="AD4" s="43" t="n">
        <f aca="false" t="array" ref="AD4:AD4">SUM(POWER(V4:V24,2))</f>
        <v>0.00634129522044444</v>
      </c>
      <c r="AE4" s="43" t="n">
        <f aca="false" t="array" ref="AE4:AE4">SUM(POWER(W4:W24,2))</f>
        <v>0.0376246639810753</v>
      </c>
      <c r="AF4" s="43" t="n">
        <f aca="false">(AA4*AC4)-(AB4)</f>
        <v>0.0912954788981104</v>
      </c>
      <c r="AG4" s="43" t="n">
        <f aca="false">(AC4*AD4)-(POWER(Y4,2))</f>
        <v>0.126790181184381</v>
      </c>
      <c r="AH4" s="43" t="n">
        <f aca="false">(AC4*AE4)-(POWER(Z4,2))</f>
        <v>0.783813243838851</v>
      </c>
      <c r="AI4" s="43" t="n">
        <f aca="false">SQRT(AG4*AH4)</f>
        <v>0.315245655324614</v>
      </c>
      <c r="AJ4" s="43" t="n">
        <f aca="false">AF4 / AI4</f>
        <v>0.289601069375887</v>
      </c>
    </row>
    <row r="5" customFormat="false" ht="15" hidden="false" customHeight="false" outlineLevel="0" collapsed="false">
      <c r="B5" s="6" t="s">
        <v>1</v>
      </c>
      <c r="C5" s="41" t="n">
        <f aca="false">AJ4</f>
        <v>0.289601069375887</v>
      </c>
      <c r="D5" s="40" t="n">
        <v>1</v>
      </c>
      <c r="E5" s="41" t="n">
        <f aca="false">AJ239</f>
        <v>0.383701299301501</v>
      </c>
      <c r="F5" s="41" t="n">
        <f aca="false">AJ286</f>
        <v>0.360936518803715</v>
      </c>
      <c r="G5" s="41" t="n">
        <f aca="false">AJ333</f>
        <v>0.226855938610869</v>
      </c>
      <c r="H5" s="41" t="n">
        <f aca="false">AJ380</f>
        <v>0.0610828771384807</v>
      </c>
      <c r="J5" s="13" t="n">
        <v>1</v>
      </c>
      <c r="K5" s="13" t="s">
        <v>24</v>
      </c>
      <c r="L5" s="13" t="s">
        <v>25</v>
      </c>
      <c r="M5" s="13" t="n">
        <f aca="false">G7</f>
        <v>0.700198246202028</v>
      </c>
      <c r="O5" s="44" t="n">
        <v>1</v>
      </c>
      <c r="P5" s="42" t="s">
        <v>0</v>
      </c>
      <c r="Q5" s="42" t="s">
        <v>24</v>
      </c>
      <c r="R5" s="44" t="n">
        <f aca="false">F13</f>
        <v>0.919989678576378</v>
      </c>
      <c r="T5" s="34"/>
      <c r="U5" s="35"/>
      <c r="V5" s="12" t="n">
        <v>-8.14693416675283E-005</v>
      </c>
      <c r="W5" s="12" t="n">
        <v>0.0886129681522299</v>
      </c>
      <c r="X5" s="12" t="n">
        <f aca="false">PRODUCT(V5:W5)</f>
        <v>-7.21924017856782E-006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</row>
    <row r="6" customFormat="false" ht="15" hidden="false" customHeight="false" outlineLevel="0" collapsed="false">
      <c r="B6" s="6" t="s">
        <v>2</v>
      </c>
      <c r="C6" s="41" t="n">
        <f aca="false">AJ51</f>
        <v>0.40029070661885</v>
      </c>
      <c r="D6" s="41" t="n">
        <f aca="false">AJ239</f>
        <v>0.383701299301501</v>
      </c>
      <c r="E6" s="40" t="n">
        <v>1</v>
      </c>
      <c r="F6" s="41" t="n">
        <f aca="false">AJ427</f>
        <v>0.353455367041583</v>
      </c>
      <c r="G6" s="41" t="n">
        <f aca="false">AJ474</f>
        <v>0.2388504501804</v>
      </c>
      <c r="H6" s="41" t="n">
        <f aca="false">AJ521</f>
        <v>0.323369989142289</v>
      </c>
      <c r="J6" s="13" t="n">
        <v>2</v>
      </c>
      <c r="K6" s="13" t="s">
        <v>25</v>
      </c>
      <c r="L6" s="13" t="s">
        <v>26</v>
      </c>
      <c r="M6" s="13" t="n">
        <f aca="false">H8</f>
        <v>0.51545110582067</v>
      </c>
      <c r="O6" s="42" t="n">
        <v>2</v>
      </c>
      <c r="P6" s="42" t="s">
        <v>2</v>
      </c>
      <c r="Q6" s="42" t="s">
        <v>24</v>
      </c>
      <c r="R6" s="42" t="n">
        <f aca="false">F15</f>
        <v>0.898150007826343</v>
      </c>
      <c r="T6" s="34"/>
      <c r="U6" s="35"/>
      <c r="V6" s="12" t="n">
        <v>-0.0174404074587571</v>
      </c>
      <c r="W6" s="12" t="n">
        <v>-0.031920716000073</v>
      </c>
      <c r="X6" s="12" t="n">
        <f aca="false">PRODUCT(V6:W6)</f>
        <v>0.00055671029341654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</row>
    <row r="7" customFormat="false" ht="15" hidden="false" customHeight="false" outlineLevel="0" collapsed="false">
      <c r="B7" s="6" t="s">
        <v>24</v>
      </c>
      <c r="C7" s="41" t="n">
        <f aca="false">AJ98</f>
        <v>0.427268116077046</v>
      </c>
      <c r="D7" s="41" t="n">
        <f aca="false">AJ286</f>
        <v>0.360936518803715</v>
      </c>
      <c r="E7" s="41" t="n">
        <f aca="false">AJ427</f>
        <v>0.353455367041583</v>
      </c>
      <c r="F7" s="40" t="n">
        <v>1</v>
      </c>
      <c r="G7" s="41" t="n">
        <f aca="false">AJ568</f>
        <v>0.700198246202028</v>
      </c>
      <c r="H7" s="41" t="n">
        <f aca="false">AJ615</f>
        <v>0.492793861781693</v>
      </c>
      <c r="J7" s="13" t="n">
        <v>3</v>
      </c>
      <c r="K7" s="13" t="s">
        <v>24</v>
      </c>
      <c r="L7" s="13" t="s">
        <v>26</v>
      </c>
      <c r="M7" s="13" t="n">
        <f aca="false">H7</f>
        <v>0.492793861781693</v>
      </c>
      <c r="O7" s="42" t="n">
        <v>3</v>
      </c>
      <c r="P7" s="42" t="s">
        <v>24</v>
      </c>
      <c r="Q7" s="42" t="s">
        <v>26</v>
      </c>
      <c r="R7" s="42" t="n">
        <f aca="false">H16</f>
        <v>0.893511582460856</v>
      </c>
      <c r="T7" s="34"/>
      <c r="U7" s="35"/>
      <c r="V7" s="12" t="n">
        <v>-0.00532570994132797</v>
      </c>
      <c r="W7" s="12" t="n">
        <v>0.028864219000841</v>
      </c>
      <c r="X7" s="12" t="n">
        <f aca="false">PRODUCT(V7:W7)</f>
        <v>-0.000153722458081447</v>
      </c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customFormat="false" ht="15" hidden="false" customHeight="false" outlineLevel="0" collapsed="false">
      <c r="B8" s="6" t="s">
        <v>25</v>
      </c>
      <c r="C8" s="41" t="n">
        <f aca="false">AJ145</f>
        <v>0.447992040176785</v>
      </c>
      <c r="D8" s="41" t="n">
        <f aca="false">AJ333</f>
        <v>0.226855938610869</v>
      </c>
      <c r="E8" s="41" t="n">
        <f aca="false">AJ474</f>
        <v>0.2388504501804</v>
      </c>
      <c r="F8" s="41" t="n">
        <f aca="false">AJ568</f>
        <v>0.700198246202028</v>
      </c>
      <c r="G8" s="40" t="n">
        <v>1</v>
      </c>
      <c r="H8" s="41" t="n">
        <f aca="false">AJ662</f>
        <v>0.51545110582067</v>
      </c>
      <c r="J8" s="13" t="n">
        <v>4</v>
      </c>
      <c r="K8" s="13" t="s">
        <v>0</v>
      </c>
      <c r="L8" s="13" t="s">
        <v>25</v>
      </c>
      <c r="M8" s="13" t="n">
        <f aca="false">G4</f>
        <v>0.447992040176785</v>
      </c>
      <c r="O8" s="42" t="n">
        <v>4</v>
      </c>
      <c r="P8" s="42" t="s">
        <v>1</v>
      </c>
      <c r="Q8" s="42" t="s">
        <v>26</v>
      </c>
      <c r="R8" s="42" t="n">
        <f aca="false">H14</f>
        <v>0.876838376569595</v>
      </c>
      <c r="T8" s="34"/>
      <c r="U8" s="35"/>
      <c r="V8" s="12" t="n">
        <v>-0.0531890480298163</v>
      </c>
      <c r="W8" s="12" t="n">
        <v>0.00624475610456798</v>
      </c>
      <c r="X8" s="12" t="n">
        <f aca="false">PRODUCT(V8:W8)</f>
        <v>-0.000332152632380355</v>
      </c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</row>
    <row r="9" customFormat="false" ht="15" hidden="false" customHeight="false" outlineLevel="0" collapsed="false">
      <c r="B9" s="6" t="s">
        <v>26</v>
      </c>
      <c r="C9" s="41" t="n">
        <f aca="false">AJ192</f>
        <v>0.206448774284328</v>
      </c>
      <c r="D9" s="41" t="n">
        <f aca="false">AJ380</f>
        <v>0.0610828771384807</v>
      </c>
      <c r="E9" s="41" t="n">
        <f aca="false">AJ521</f>
        <v>0.323369989142289</v>
      </c>
      <c r="F9" s="41" t="n">
        <f aca="false">AJ615</f>
        <v>0.492793861781693</v>
      </c>
      <c r="G9" s="41" t="n">
        <f aca="false">AJ662</f>
        <v>0.51545110582067</v>
      </c>
      <c r="H9" s="40" t="n">
        <v>1</v>
      </c>
      <c r="J9" s="13" t="n">
        <v>5</v>
      </c>
      <c r="K9" s="13" t="s">
        <v>0</v>
      </c>
      <c r="L9" s="13" t="s">
        <v>24</v>
      </c>
      <c r="M9" s="13" t="n">
        <f aca="false">F4</f>
        <v>0.427268116077046</v>
      </c>
      <c r="O9" s="42" t="n">
        <v>5</v>
      </c>
      <c r="P9" s="42" t="s">
        <v>0</v>
      </c>
      <c r="Q9" s="42" t="s">
        <v>26</v>
      </c>
      <c r="R9" s="42" t="n">
        <f aca="false">H13</f>
        <v>0.873163425660659</v>
      </c>
      <c r="T9" s="34"/>
      <c r="U9" s="35"/>
      <c r="V9" s="12" t="n">
        <v>-0.0154974411647899</v>
      </c>
      <c r="W9" s="12" t="n">
        <v>-0.0124703762064406</v>
      </c>
      <c r="X9" s="12" t="n">
        <f aca="false">PRODUCT(V9:W9)</f>
        <v>0.000193258921562109</v>
      </c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</row>
    <row r="10" customFormat="false" ht="15" hidden="false" customHeight="false" outlineLevel="0" collapsed="false">
      <c r="J10" s="13" t="n">
        <v>6</v>
      </c>
      <c r="K10" s="13" t="s">
        <v>0</v>
      </c>
      <c r="L10" s="13" t="s">
        <v>2</v>
      </c>
      <c r="M10" s="13" t="n">
        <f aca="false">E4</f>
        <v>0.40029070661885</v>
      </c>
      <c r="O10" s="42" t="n">
        <v>6</v>
      </c>
      <c r="P10" s="42" t="s">
        <v>0</v>
      </c>
      <c r="Q10" s="42" t="s">
        <v>1</v>
      </c>
      <c r="R10" s="44" t="n">
        <f aca="false">D13</f>
        <v>0.868429764365171</v>
      </c>
      <c r="T10" s="34"/>
      <c r="U10" s="35"/>
      <c r="V10" s="12" t="n">
        <v>-0.00503625509816352</v>
      </c>
      <c r="W10" s="12" t="n">
        <v>0.00282911583851941</v>
      </c>
      <c r="X10" s="12" t="n">
        <f aca="false">PRODUCT(V10:W10)</f>
        <v>-1.42481490650385E-005</v>
      </c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</row>
    <row r="11" customFormat="false" ht="15" hidden="false" customHeight="false" outlineLevel="0" collapsed="false">
      <c r="B11" s="25" t="s">
        <v>62</v>
      </c>
      <c r="C11" s="25"/>
      <c r="D11" s="25"/>
      <c r="E11" s="25"/>
      <c r="F11" s="25"/>
      <c r="G11" s="25"/>
      <c r="H11" s="25"/>
      <c r="J11" s="13" t="n">
        <v>7</v>
      </c>
      <c r="K11" s="13" t="s">
        <v>1</v>
      </c>
      <c r="L11" s="13" t="s">
        <v>2</v>
      </c>
      <c r="M11" s="13" t="n">
        <f aca="false">E5</f>
        <v>0.383701299301501</v>
      </c>
      <c r="O11" s="42" t="n">
        <v>7</v>
      </c>
      <c r="P11" s="42" t="s">
        <v>0</v>
      </c>
      <c r="Q11" s="42" t="s">
        <v>2</v>
      </c>
      <c r="R11" s="42" t="n">
        <f aca="false">E13</f>
        <v>0.843601006009597</v>
      </c>
      <c r="T11" s="34"/>
      <c r="U11" s="35"/>
      <c r="V11" s="12" t="n">
        <v>-0.00466391940598321</v>
      </c>
      <c r="W11" s="12" t="n">
        <v>0.0216272062325444</v>
      </c>
      <c r="X11" s="12" t="n">
        <f aca="false">PRODUCT(V11:W11)</f>
        <v>-0.000100867546845165</v>
      </c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</row>
    <row r="12" customFormat="false" ht="15" hidden="false" customHeight="false" outlineLevel="0" collapsed="false">
      <c r="B12" s="30"/>
      <c r="C12" s="31" t="s">
        <v>0</v>
      </c>
      <c r="D12" s="31" t="s">
        <v>42</v>
      </c>
      <c r="E12" s="31" t="s">
        <v>2</v>
      </c>
      <c r="F12" s="31" t="s">
        <v>24</v>
      </c>
      <c r="G12" s="31" t="s">
        <v>25</v>
      </c>
      <c r="H12" s="31" t="s">
        <v>26</v>
      </c>
      <c r="J12" s="13" t="n">
        <v>8</v>
      </c>
      <c r="K12" s="13" t="s">
        <v>1</v>
      </c>
      <c r="L12" s="13" t="s">
        <v>24</v>
      </c>
      <c r="M12" s="13" t="n">
        <f aca="false">F6</f>
        <v>0.353455367041583</v>
      </c>
      <c r="O12" s="42" t="n">
        <v>8</v>
      </c>
      <c r="P12" s="42" t="s">
        <v>2</v>
      </c>
      <c r="Q12" s="42" t="s">
        <v>26</v>
      </c>
      <c r="R12" s="42" t="n">
        <f aca="false">H15</f>
        <v>0.837812766160292</v>
      </c>
      <c r="T12" s="34"/>
      <c r="U12" s="35"/>
      <c r="V12" s="12" t="n">
        <v>0.0131621225360554</v>
      </c>
      <c r="W12" s="12" t="n">
        <v>0.116447817978472</v>
      </c>
      <c r="X12" s="12" t="n">
        <f aca="false">PRODUCT(V12:W12)</f>
        <v>0.00153270044928892</v>
      </c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</row>
    <row r="13" customFormat="false" ht="15" hidden="false" customHeight="false" outlineLevel="0" collapsed="false">
      <c r="B13" s="6" t="s">
        <v>0</v>
      </c>
      <c r="C13" s="40" t="n">
        <v>1</v>
      </c>
      <c r="D13" s="41" t="n">
        <f aca="false">AJ25</f>
        <v>0.868429764365171</v>
      </c>
      <c r="E13" s="41" t="n">
        <f aca="false">AJ72</f>
        <v>0.843601006009597</v>
      </c>
      <c r="F13" s="41" t="n">
        <f aca="false">AJ119</f>
        <v>0.919989678576378</v>
      </c>
      <c r="G13" s="41" t="n">
        <f aca="false">AJ166</f>
        <v>0.807056937683122</v>
      </c>
      <c r="H13" s="41" t="n">
        <f aca="false">AJ213</f>
        <v>0.873163425660659</v>
      </c>
      <c r="J13" s="13" t="n">
        <v>9</v>
      </c>
      <c r="K13" s="13" t="s">
        <v>2</v>
      </c>
      <c r="L13" s="13" t="s">
        <v>24</v>
      </c>
      <c r="M13" s="13" t="n">
        <f aca="false">F5</f>
        <v>0.360936518803715</v>
      </c>
      <c r="O13" s="42" t="n">
        <v>9</v>
      </c>
      <c r="P13" s="42" t="s">
        <v>1</v>
      </c>
      <c r="Q13" s="42" t="s">
        <v>24</v>
      </c>
      <c r="R13" s="42" t="n">
        <f aca="false">F14</f>
        <v>0.834165037135454</v>
      </c>
      <c r="T13" s="34"/>
      <c r="U13" s="35"/>
      <c r="V13" s="12" t="n">
        <v>0.00323106111335392</v>
      </c>
      <c r="W13" s="12" t="n">
        <v>0.0341490725846221</v>
      </c>
      <c r="X13" s="12" t="n">
        <f aca="false">PRODUCT(V13:W13)</f>
        <v>0.000110337740485273</v>
      </c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</row>
    <row r="14" customFormat="false" ht="15" hidden="false" customHeight="false" outlineLevel="0" collapsed="false">
      <c r="B14" s="6" t="s">
        <v>1</v>
      </c>
      <c r="C14" s="41" t="n">
        <f aca="false">AJ25</f>
        <v>0.868429764365171</v>
      </c>
      <c r="D14" s="40" t="n">
        <v>1</v>
      </c>
      <c r="E14" s="41" t="n">
        <f aca="false">AJ260</f>
        <v>0.792531453124565</v>
      </c>
      <c r="F14" s="41" t="n">
        <f aca="false">AJ307</f>
        <v>0.834165037135454</v>
      </c>
      <c r="G14" s="41" t="n">
        <f aca="false">AJ354</f>
        <v>0.812976253369536</v>
      </c>
      <c r="H14" s="41" t="n">
        <f aca="false">AJ401</f>
        <v>0.876838376569595</v>
      </c>
      <c r="J14" s="13" t="n">
        <v>10</v>
      </c>
      <c r="K14" s="13" t="s">
        <v>2</v>
      </c>
      <c r="L14" s="13" t="s">
        <v>26</v>
      </c>
      <c r="M14" s="13" t="n">
        <f aca="false">H4</f>
        <v>0.206448774284328</v>
      </c>
      <c r="O14" s="42" t="n">
        <v>10</v>
      </c>
      <c r="P14" s="42" t="s">
        <v>24</v>
      </c>
      <c r="Q14" s="42" t="s">
        <v>25</v>
      </c>
      <c r="R14" s="42" t="n">
        <f aca="false">G16</f>
        <v>0.829582443189127</v>
      </c>
      <c r="T14" s="34"/>
      <c r="U14" s="35"/>
      <c r="V14" s="12" t="n">
        <v>-0.0194594104873342</v>
      </c>
      <c r="W14" s="12" t="n">
        <v>-0.0228233473750326</v>
      </c>
      <c r="X14" s="12" t="n">
        <f aca="false">PRODUCT(V14:W14)</f>
        <v>0.000444128885265781</v>
      </c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</row>
    <row r="15" customFormat="false" ht="15" hidden="false" customHeight="false" outlineLevel="0" collapsed="false">
      <c r="B15" s="6" t="s">
        <v>2</v>
      </c>
      <c r="C15" s="41" t="n">
        <f aca="false">AJ72</f>
        <v>0.843601006009597</v>
      </c>
      <c r="D15" s="41" t="n">
        <f aca="false">AJ260</f>
        <v>0.792531453124565</v>
      </c>
      <c r="E15" s="40" t="n">
        <v>1</v>
      </c>
      <c r="F15" s="41" t="n">
        <f aca="false">AJ448</f>
        <v>0.898150007826343</v>
      </c>
      <c r="G15" s="41" t="n">
        <f aca="false">AJ495</f>
        <v>0.791947698177241</v>
      </c>
      <c r="H15" s="41" t="n">
        <f aca="false">AJ542</f>
        <v>0.837812766160292</v>
      </c>
      <c r="J15" s="13" t="n">
        <v>11</v>
      </c>
      <c r="K15" s="13" t="s">
        <v>0</v>
      </c>
      <c r="L15" s="13" t="s">
        <v>1</v>
      </c>
      <c r="M15" s="45" t="n">
        <f aca="false">D4</f>
        <v>0.289601069375887</v>
      </c>
      <c r="O15" s="42" t="n">
        <v>11</v>
      </c>
      <c r="P15" s="42" t="s">
        <v>1</v>
      </c>
      <c r="Q15" s="42" t="s">
        <v>25</v>
      </c>
      <c r="R15" s="42" t="n">
        <f aca="false">G14</f>
        <v>0.812976253369536</v>
      </c>
      <c r="T15" s="34"/>
      <c r="U15" s="35"/>
      <c r="V15" s="12" t="n">
        <v>0.0205758909575238</v>
      </c>
      <c r="W15" s="12" t="n">
        <v>-0.0443424840431756</v>
      </c>
      <c r="X15" s="12" t="n">
        <f aca="false">PRODUCT(V15:W15)</f>
        <v>-0.00091238611645812</v>
      </c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</row>
    <row r="16" customFormat="false" ht="15" hidden="false" customHeight="false" outlineLevel="0" collapsed="false">
      <c r="B16" s="6" t="s">
        <v>24</v>
      </c>
      <c r="C16" s="41" t="n">
        <f aca="false">AJ119</f>
        <v>0.919989678576378</v>
      </c>
      <c r="D16" s="41" t="n">
        <f aca="false">AJ307</f>
        <v>0.834165037135454</v>
      </c>
      <c r="E16" s="41" t="n">
        <f aca="false">AJ448</f>
        <v>0.898150007826343</v>
      </c>
      <c r="F16" s="40" t="n">
        <v>1</v>
      </c>
      <c r="G16" s="41" t="n">
        <f aca="false">AJ589</f>
        <v>0.829582443189127</v>
      </c>
      <c r="H16" s="41" t="n">
        <f aca="false">AJ636</f>
        <v>0.893511582460856</v>
      </c>
      <c r="J16" s="13" t="n">
        <v>12</v>
      </c>
      <c r="K16" s="13" t="s">
        <v>2</v>
      </c>
      <c r="L16" s="13" t="s">
        <v>25</v>
      </c>
      <c r="M16" s="13" t="n">
        <f aca="false">G6</f>
        <v>0.2388504501804</v>
      </c>
      <c r="O16" s="42" t="n">
        <v>12</v>
      </c>
      <c r="P16" s="42" t="s">
        <v>25</v>
      </c>
      <c r="Q16" s="42" t="s">
        <v>26</v>
      </c>
      <c r="R16" s="32" t="n">
        <f aca="false">H17</f>
        <v>0.810939033774568</v>
      </c>
      <c r="T16" s="34"/>
      <c r="U16" s="35"/>
      <c r="V16" s="12" t="n">
        <v>-0.0142882700912885</v>
      </c>
      <c r="W16" s="12" t="n">
        <v>-0.014073186380255</v>
      </c>
      <c r="X16" s="12" t="n">
        <f aca="false">PRODUCT(V16:W16)</f>
        <v>0.000201081488046126</v>
      </c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</row>
    <row r="17" customFormat="false" ht="15" hidden="false" customHeight="false" outlineLevel="0" collapsed="false">
      <c r="B17" s="6" t="s">
        <v>25</v>
      </c>
      <c r="C17" s="41" t="n">
        <f aca="false">AJ166</f>
        <v>0.807056937683122</v>
      </c>
      <c r="D17" s="41" t="n">
        <f aca="false">AJ354</f>
        <v>0.812976253369536</v>
      </c>
      <c r="E17" s="41" t="n">
        <f aca="false">AJ495</f>
        <v>0.791947698177241</v>
      </c>
      <c r="F17" s="41" t="n">
        <f aca="false">AJ589</f>
        <v>0.829582443189127</v>
      </c>
      <c r="G17" s="40" t="n">
        <v>1</v>
      </c>
      <c r="H17" s="41" t="n">
        <f aca="false">AJ683</f>
        <v>0.810939033774568</v>
      </c>
      <c r="J17" s="13" t="n">
        <v>13</v>
      </c>
      <c r="K17" s="13" t="s">
        <v>1</v>
      </c>
      <c r="L17" s="13" t="s">
        <v>25</v>
      </c>
      <c r="M17" s="13" t="n">
        <f aca="false">G5</f>
        <v>0.226855938610869</v>
      </c>
      <c r="O17" s="42" t="n">
        <v>13</v>
      </c>
      <c r="P17" s="42" t="s">
        <v>0</v>
      </c>
      <c r="Q17" s="42" t="s">
        <v>25</v>
      </c>
      <c r="R17" s="42" t="n">
        <f aca="false">G13</f>
        <v>0.807056937683122</v>
      </c>
      <c r="T17" s="34"/>
      <c r="U17" s="35"/>
      <c r="V17" s="12" t="n">
        <v>0.0291843404542576</v>
      </c>
      <c r="W17" s="12" t="n">
        <v>0.0372144380073269</v>
      </c>
      <c r="X17" s="12" t="n">
        <f aca="false">PRODUCT(V17:W17)</f>
        <v>0.00108607882861969</v>
      </c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</row>
    <row r="18" customFormat="false" ht="15" hidden="false" customHeight="false" outlineLevel="0" collapsed="false">
      <c r="B18" s="6" t="s">
        <v>26</v>
      </c>
      <c r="C18" s="41" t="n">
        <f aca="false">AJ213</f>
        <v>0.873163425660659</v>
      </c>
      <c r="D18" s="41" t="n">
        <f aca="false">AJ401</f>
        <v>0.876838376569595</v>
      </c>
      <c r="E18" s="41" t="n">
        <f aca="false">AJ542</f>
        <v>0.837812766160292</v>
      </c>
      <c r="F18" s="41" t="n">
        <f aca="false">AJ636</f>
        <v>0.893511582460856</v>
      </c>
      <c r="G18" s="41" t="n">
        <f aca="false">AJ683</f>
        <v>0.810939033774568</v>
      </c>
      <c r="H18" s="40" t="n">
        <v>1</v>
      </c>
      <c r="J18" s="13" t="n">
        <v>14</v>
      </c>
      <c r="K18" s="13" t="s">
        <v>0</v>
      </c>
      <c r="L18" s="13" t="s">
        <v>26</v>
      </c>
      <c r="M18" s="13" t="n">
        <f aca="false">H4</f>
        <v>0.206448774284328</v>
      </c>
      <c r="O18" s="42" t="n">
        <v>14</v>
      </c>
      <c r="P18" s="42" t="s">
        <v>1</v>
      </c>
      <c r="Q18" s="42" t="s">
        <v>2</v>
      </c>
      <c r="R18" s="42" t="n">
        <f aca="false">E14</f>
        <v>0.792531453124565</v>
      </c>
      <c r="T18" s="34"/>
      <c r="U18" s="35"/>
      <c r="V18" s="12" t="n">
        <v>0.0114531647313392</v>
      </c>
      <c r="W18" s="12" t="n">
        <v>-0.0299717608209775</v>
      </c>
      <c r="X18" s="12" t="n">
        <f aca="false">PRODUCT(V18:W18)</f>
        <v>-0.000343271513970954</v>
      </c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</row>
    <row r="19" customFormat="false" ht="15" hidden="false" customHeight="false" outlineLevel="0" collapsed="false">
      <c r="J19" s="13" t="n">
        <v>15</v>
      </c>
      <c r="K19" s="13" t="s">
        <v>1</v>
      </c>
      <c r="L19" s="13" t="s">
        <v>26</v>
      </c>
      <c r="M19" s="13" t="n">
        <f aca="false">H5</f>
        <v>0.0610828771384807</v>
      </c>
      <c r="O19" s="32" t="n">
        <v>15</v>
      </c>
      <c r="P19" s="42" t="s">
        <v>2</v>
      </c>
      <c r="Q19" s="42" t="s">
        <v>25</v>
      </c>
      <c r="R19" s="42" t="n">
        <f aca="false">G14</f>
        <v>0.812976253369536</v>
      </c>
      <c r="T19" s="34"/>
      <c r="U19" s="35"/>
      <c r="V19" s="12" t="n">
        <v>-0.00262718373829607</v>
      </c>
      <c r="W19" s="12" t="n">
        <v>0.0333294633804524</v>
      </c>
      <c r="X19" s="12" t="n">
        <f aca="false">PRODUCT(V19:W19)</f>
        <v>-8.75626241992589E-005</v>
      </c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</row>
    <row r="20" customFormat="false" ht="15" hidden="false" customHeight="false" outlineLevel="0" collapsed="false">
      <c r="B20" s="2" t="s">
        <v>63</v>
      </c>
      <c r="C20" s="2"/>
      <c r="D20" s="2"/>
      <c r="E20" s="2"/>
      <c r="F20" s="2"/>
      <c r="G20" s="2"/>
      <c r="H20" s="2"/>
      <c r="J20" s="46"/>
      <c r="K20" s="46"/>
      <c r="L20" s="46"/>
      <c r="M20" s="46"/>
      <c r="O20" s="46"/>
      <c r="P20" s="46"/>
      <c r="Q20" s="46"/>
      <c r="R20" s="46"/>
      <c r="T20" s="34"/>
      <c r="U20" s="35"/>
      <c r="V20" s="12" t="n">
        <v>0.00143909419481503</v>
      </c>
      <c r="W20" s="12" t="n">
        <v>0.000791283978168522</v>
      </c>
      <c r="X20" s="12" t="n">
        <f aca="false">PRODUCT(V20:W20)</f>
        <v>1.13873217943246E-006</v>
      </c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</row>
    <row r="21" customFormat="false" ht="15" hidden="false" customHeight="false" outlineLevel="0" collapsed="false">
      <c r="B21" s="47"/>
      <c r="C21" s="48" t="s">
        <v>0</v>
      </c>
      <c r="D21" s="48" t="s">
        <v>42</v>
      </c>
      <c r="E21" s="48" t="s">
        <v>2</v>
      </c>
      <c r="F21" s="48" t="s">
        <v>24</v>
      </c>
      <c r="G21" s="48" t="s">
        <v>25</v>
      </c>
      <c r="H21" s="48" t="s">
        <v>26</v>
      </c>
      <c r="J21" s="46"/>
      <c r="K21" s="46"/>
      <c r="L21" s="46"/>
      <c r="M21" s="46"/>
      <c r="O21" s="46"/>
      <c r="P21" s="46"/>
      <c r="Q21" s="46"/>
      <c r="R21" s="46"/>
      <c r="T21" s="34"/>
      <c r="U21" s="35"/>
      <c r="V21" s="12" t="n">
        <v>-0.000335579478415227</v>
      </c>
      <c r="W21" s="12" t="n">
        <v>-0.0135355302841944</v>
      </c>
      <c r="X21" s="12" t="n">
        <f aca="false">PRODUCT(V21:W21)</f>
        <v>4.54224619284347E-006</v>
      </c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</row>
    <row r="22" customFormat="false" ht="15" hidden="false" customHeight="false" outlineLevel="0" collapsed="false">
      <c r="B22" s="16" t="s">
        <v>0</v>
      </c>
      <c r="C22" s="49" t="n">
        <v>0</v>
      </c>
      <c r="D22" s="41" t="n">
        <f aca="false">SQRT(2 * (1 - D4))</f>
        <v>1.19197225691214</v>
      </c>
      <c r="E22" s="41" t="n">
        <f aca="false">SQRT(2 * (1 - E4))</f>
        <v>1.09517970523668</v>
      </c>
      <c r="F22" s="41" t="n">
        <f aca="false">SQRT(2 * (1 - F4))</f>
        <v>1.07026341049571</v>
      </c>
      <c r="G22" s="41" t="n">
        <f aca="false">SQRT(2 * (1 - G4))</f>
        <v>1.05072161853006</v>
      </c>
      <c r="H22" s="41" t="n">
        <f aca="false">SQRT(2 * (1 - H4))</f>
        <v>1.25980254462013</v>
      </c>
      <c r="J22" s="50" t="s">
        <v>64</v>
      </c>
      <c r="K22" s="50"/>
      <c r="L22" s="50"/>
      <c r="M22" s="50"/>
      <c r="N22" s="50"/>
      <c r="O22" s="50"/>
      <c r="P22" s="46"/>
      <c r="Q22" s="46"/>
      <c r="R22" s="46"/>
      <c r="T22" s="34"/>
      <c r="U22" s="35"/>
      <c r="V22" s="12" t="n">
        <v>-0.0123151871599116</v>
      </c>
      <c r="W22" s="12" t="n">
        <v>-0.0393069847338516</v>
      </c>
      <c r="X22" s="12" t="n">
        <f aca="false">PRODUCT(V22:W22)</f>
        <v>0.000484072873689171</v>
      </c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</row>
    <row r="23" customFormat="false" ht="15" hidden="false" customHeight="false" outlineLevel="0" collapsed="false">
      <c r="B23" s="16" t="s">
        <v>1</v>
      </c>
      <c r="C23" s="41" t="n">
        <f aca="false">SQRT(2 * (1 - C5))</f>
        <v>1.19197225691214</v>
      </c>
      <c r="D23" s="49" t="n">
        <v>0</v>
      </c>
      <c r="E23" s="41" t="n">
        <f aca="false">SQRT(2 * (1 - E5))</f>
        <v>1.11022403207506</v>
      </c>
      <c r="F23" s="41" t="n">
        <f aca="false">SQRT(2 * (1 - F5))</f>
        <v>1.13054277335825</v>
      </c>
      <c r="G23" s="41" t="n">
        <f aca="false">SQRT(2 * (1 - G5))</f>
        <v>1.2434983404807</v>
      </c>
      <c r="H23" s="41" t="n">
        <f aca="false">SQRT(2 * (1 - H5))</f>
        <v>1.37034092317315</v>
      </c>
      <c r="J23" s="51"/>
      <c r="K23" s="52" t="s">
        <v>43</v>
      </c>
      <c r="L23" s="52"/>
      <c r="M23" s="52" t="s">
        <v>65</v>
      </c>
      <c r="N23" s="52"/>
      <c r="O23" s="51" t="s">
        <v>66</v>
      </c>
      <c r="P23" s="46"/>
      <c r="Q23" s="46"/>
      <c r="R23" s="46"/>
      <c r="T23" s="34"/>
      <c r="U23" s="35"/>
      <c r="V23" s="12" t="n">
        <v>-0.0212492147440653</v>
      </c>
      <c r="W23" s="12" t="n">
        <v>-0.0670216961664512</v>
      </c>
      <c r="X23" s="12" t="n">
        <f aca="false">PRODUCT(V23:W23)</f>
        <v>0.00142415841435242</v>
      </c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customFormat="false" ht="15" hidden="false" customHeight="false" outlineLevel="0" collapsed="false">
      <c r="B24" s="16" t="s">
        <v>2</v>
      </c>
      <c r="C24" s="41" t="n">
        <f aca="false">SQRT(2 * (1 - C6))</f>
        <v>1.09517970523668</v>
      </c>
      <c r="D24" s="41" t="n">
        <f aca="false">SQRT(2 * (1 - D6))</f>
        <v>1.11022403207506</v>
      </c>
      <c r="E24" s="49" t="n">
        <v>0</v>
      </c>
      <c r="F24" s="41" t="n">
        <f aca="false">SQRT(2 * (1 - F6))</f>
        <v>1.13714082941245</v>
      </c>
      <c r="G24" s="41" t="n">
        <f aca="false">SQRT(2 * (1 - G6))</f>
        <v>1.23381485630511</v>
      </c>
      <c r="H24" s="41" t="n">
        <f aca="false">SQRT(2 * (1 - H6))</f>
        <v>1.16329704792689</v>
      </c>
      <c r="J24" s="51" t="s">
        <v>60</v>
      </c>
      <c r="K24" s="51" t="s">
        <v>45</v>
      </c>
      <c r="L24" s="51" t="s">
        <v>46</v>
      </c>
      <c r="M24" s="51" t="s">
        <v>67</v>
      </c>
      <c r="N24" s="53" t="s">
        <v>68</v>
      </c>
      <c r="O24" s="51" t="s">
        <v>69</v>
      </c>
      <c r="P24" s="46"/>
      <c r="Q24" s="46"/>
      <c r="R24" s="46"/>
      <c r="T24" s="34"/>
      <c r="U24" s="35"/>
      <c r="V24" s="12" t="n">
        <v>0.0025703446619616</v>
      </c>
      <c r="W24" s="12" t="n">
        <v>-0.0149557610634048</v>
      </c>
      <c r="X24" s="12" t="n">
        <f aca="false">PRODUCT(V24:W24)</f>
        <v>-3.84414606148957E-005</v>
      </c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customFormat="false" ht="15" hidden="false" customHeight="false" outlineLevel="0" collapsed="false">
      <c r="B25" s="16" t="s">
        <v>24</v>
      </c>
      <c r="C25" s="41" t="n">
        <f aca="false">SQRT(2 * (1 - C7))</f>
        <v>1.07026341049571</v>
      </c>
      <c r="D25" s="41" t="n">
        <f aca="false">SQRT(2 * (1 - D7))</f>
        <v>1.13054277335825</v>
      </c>
      <c r="E25" s="41" t="n">
        <f aca="false">SQRT(2 * (1 - E7))</f>
        <v>1.13714082941245</v>
      </c>
      <c r="F25" s="49" t="n">
        <v>0</v>
      </c>
      <c r="G25" s="41" t="n">
        <f aca="false">SQRT(2 * (1 - G7))</f>
        <v>0.774340692199463</v>
      </c>
      <c r="H25" s="41" t="n">
        <f aca="false">SQRT(2 * (1 - H7))</f>
        <v>1.00718035943748</v>
      </c>
      <c r="J25" s="54" t="n">
        <v>1</v>
      </c>
      <c r="K25" s="55" t="s">
        <v>24</v>
      </c>
      <c r="L25" s="55" t="s">
        <v>25</v>
      </c>
      <c r="M25" s="55" t="n">
        <f aca="false">G25</f>
        <v>0.774340692199463</v>
      </c>
      <c r="N25" s="55" t="n">
        <f aca="false">G34</f>
        <v>0.583810854319912</v>
      </c>
      <c r="O25" s="54" t="n">
        <f aca="false">N25-M25</f>
        <v>-0.190529837879551</v>
      </c>
      <c r="P25" s="46"/>
      <c r="Q25" s="46"/>
      <c r="R25" s="46"/>
      <c r="T25" s="34"/>
      <c r="U25" s="35"/>
      <c r="V25" s="13" t="n">
        <f aca="false" t="array" ref="V25:V50">'Data Gathering and ect'!F32:F57</f>
        <v>0.013822271570092</v>
      </c>
      <c r="W25" s="13" t="n">
        <f aca="false" t="array" ref="W25:W50">'Data Gathering and ect'!F95:F120</f>
        <v>-0.0689425876158651</v>
      </c>
      <c r="X25" s="13" t="n">
        <f aca="false">PRODUCT(V25:W25)</f>
        <v>-0.000952943168771349</v>
      </c>
      <c r="Y25" s="56" t="n">
        <f aca="false">SUM(V25:V50)</f>
        <v>-0.372564463964317</v>
      </c>
      <c r="Z25" s="56" t="n">
        <f aca="false">SUM(W25:W50)</f>
        <v>-0.61308183766856</v>
      </c>
      <c r="AA25" s="56" t="n">
        <f aca="false">SUM(X25:X50)</f>
        <v>0.130298916488638</v>
      </c>
      <c r="AB25" s="56" t="n">
        <f aca="false">Y25*Z25</f>
        <v>0.228412506217246</v>
      </c>
      <c r="AC25" s="57" t="n">
        <f aca="false">COUNT(V25:V50)</f>
        <v>26</v>
      </c>
      <c r="AD25" s="56" t="n">
        <f aca="false" t="array" ref="AD25:AD25">SUM(POWER(V25:V50,2))</f>
        <v>0.124264859766193</v>
      </c>
      <c r="AE25" s="56" t="n">
        <f aca="false" t="array" ref="AE25:AE25">SUM(POWER(W25:W50,2))</f>
        <v>0.179084733445403</v>
      </c>
      <c r="AF25" s="56" t="n">
        <f aca="false">(AA25*AC25)-(AB25)</f>
        <v>3.15935932248733</v>
      </c>
      <c r="AG25" s="56" t="n">
        <f aca="false">(AC25*AD25)-(POWER(Y25,2))</f>
        <v>3.092082074112</v>
      </c>
      <c r="AH25" s="56" t="n">
        <f aca="false">(AC25*AE25)-(POWER(Z25,2))</f>
        <v>4.28033372990141</v>
      </c>
      <c r="AI25" s="56" t="n">
        <f aca="false">SQRT(AG25*AH25)</f>
        <v>3.63801363348808</v>
      </c>
      <c r="AJ25" s="56" t="n">
        <f aca="false">AF25 / AI25</f>
        <v>0.868429764365171</v>
      </c>
    </row>
    <row r="26" customFormat="false" ht="15" hidden="false" customHeight="false" outlineLevel="0" collapsed="false">
      <c r="B26" s="16" t="s">
        <v>25</v>
      </c>
      <c r="C26" s="41" t="n">
        <f aca="false">SQRT(2 * (1 - C8))</f>
        <v>1.05072161853006</v>
      </c>
      <c r="D26" s="41" t="n">
        <f aca="false">SQRT(2 * (1 - D8))</f>
        <v>1.2434983404807</v>
      </c>
      <c r="E26" s="41" t="n">
        <f aca="false">SQRT(2 * (1 - E8))</f>
        <v>1.23381485630511</v>
      </c>
      <c r="F26" s="41" t="n">
        <f aca="false">SQRT(2 * (1 - F8))</f>
        <v>0.774340692199463</v>
      </c>
      <c r="G26" s="49" t="n">
        <v>0</v>
      </c>
      <c r="H26" s="41" t="n">
        <f aca="false">SQRT(2 * (1 - H8))</f>
        <v>0.984427645060143</v>
      </c>
      <c r="J26" s="54" t="n">
        <v>2</v>
      </c>
      <c r="K26" s="55" t="s">
        <v>25</v>
      </c>
      <c r="L26" s="55" t="s">
        <v>26</v>
      </c>
      <c r="M26" s="55" t="n">
        <f aca="false">H26</f>
        <v>0.984427645060143</v>
      </c>
      <c r="N26" s="55" t="n">
        <f aca="false">H35</f>
        <v>0.614916199535241</v>
      </c>
      <c r="O26" s="54" t="n">
        <f aca="false">N26-M26</f>
        <v>-0.369511445524903</v>
      </c>
      <c r="P26" s="46"/>
      <c r="Q26" s="46"/>
      <c r="R26" s="46"/>
      <c r="T26" s="34"/>
      <c r="U26" s="35"/>
      <c r="V26" s="13" t="n">
        <v>0.0226829217835256</v>
      </c>
      <c r="W26" s="13" t="n">
        <v>0.000525301944326984</v>
      </c>
      <c r="X26" s="13" t="n">
        <f aca="false">PRODUCT(V26:W26)</f>
        <v>1.19153829159029E-005</v>
      </c>
      <c r="Y26" s="56"/>
      <c r="Z26" s="56"/>
      <c r="AA26" s="56"/>
      <c r="AB26" s="56"/>
      <c r="AC26" s="57"/>
      <c r="AD26" s="56"/>
      <c r="AE26" s="56"/>
      <c r="AF26" s="56"/>
      <c r="AG26" s="56"/>
      <c r="AH26" s="56"/>
      <c r="AI26" s="56"/>
      <c r="AJ26" s="56"/>
    </row>
    <row r="27" customFormat="false" ht="15" hidden="false" customHeight="false" outlineLevel="0" collapsed="false">
      <c r="B27" s="16" t="s">
        <v>26</v>
      </c>
      <c r="C27" s="41" t="n">
        <f aca="false">SQRT(2 * (1 - C9))</f>
        <v>1.25980254462013</v>
      </c>
      <c r="D27" s="41" t="n">
        <f aca="false">SQRT(2 * (1 - D9))</f>
        <v>1.37034092317315</v>
      </c>
      <c r="E27" s="41" t="n">
        <f aca="false">SQRT(2 * (1 - E9))</f>
        <v>1.16329704792689</v>
      </c>
      <c r="F27" s="41" t="n">
        <f aca="false">SQRT(2 * (1 - F9))</f>
        <v>1.00718035943748</v>
      </c>
      <c r="G27" s="41" t="n">
        <f aca="false">SQRT(2 * (1 - G9))</f>
        <v>0.984427645060143</v>
      </c>
      <c r="H27" s="49" t="n">
        <v>0</v>
      </c>
      <c r="J27" s="54" t="n">
        <v>3</v>
      </c>
      <c r="K27" s="54" t="s">
        <v>0</v>
      </c>
      <c r="L27" s="54" t="s">
        <v>25</v>
      </c>
      <c r="M27" s="54" t="n">
        <f aca="false">G22</f>
        <v>1.05072161853006</v>
      </c>
      <c r="N27" s="55" t="n">
        <f aca="false">G31</f>
        <v>0.621197331476686</v>
      </c>
      <c r="O27" s="54" t="n">
        <f aca="false">N27-M27</f>
        <v>-0.429524287053375</v>
      </c>
      <c r="P27" s="46"/>
      <c r="Q27" s="46"/>
      <c r="R27" s="46"/>
      <c r="T27" s="34"/>
      <c r="U27" s="35"/>
      <c r="V27" s="13" t="n">
        <v>-0.0130559318290064</v>
      </c>
      <c r="W27" s="13" t="n">
        <v>0.00864171857069351</v>
      </c>
      <c r="X27" s="13" t="n">
        <f aca="false">PRODUCT(V27:W27)</f>
        <v>-0.000112825688544433</v>
      </c>
      <c r="Y27" s="56"/>
      <c r="Z27" s="56"/>
      <c r="AA27" s="56"/>
      <c r="AB27" s="56"/>
      <c r="AC27" s="57"/>
      <c r="AD27" s="56"/>
      <c r="AE27" s="56"/>
      <c r="AF27" s="56"/>
      <c r="AG27" s="56"/>
      <c r="AH27" s="56"/>
      <c r="AI27" s="56"/>
      <c r="AJ27" s="56"/>
    </row>
    <row r="28" customFormat="false" ht="15" hidden="false" customHeight="false" outlineLevel="0" collapsed="false">
      <c r="J28" s="54" t="n">
        <v>4</v>
      </c>
      <c r="K28" s="54" t="s">
        <v>1</v>
      </c>
      <c r="L28" s="54" t="s">
        <v>2</v>
      </c>
      <c r="M28" s="54" t="n">
        <f aca="false">E23</f>
        <v>1.11022403207506</v>
      </c>
      <c r="N28" s="55" t="n">
        <f aca="false">E32</f>
        <v>0.644156109767555</v>
      </c>
      <c r="O28" s="54" t="n">
        <f aca="false">N28-M28</f>
        <v>-0.466067922307503</v>
      </c>
      <c r="P28" s="46"/>
      <c r="Q28" s="46"/>
      <c r="R28" s="46"/>
      <c r="T28" s="34"/>
      <c r="U28" s="35"/>
      <c r="V28" s="13" t="n">
        <v>0.00361222761554281</v>
      </c>
      <c r="W28" s="13" t="n">
        <v>0.0644714611014319</v>
      </c>
      <c r="X28" s="13" t="n">
        <f aca="false">PRODUCT(V28:W28)</f>
        <v>0.000232885592204986</v>
      </c>
      <c r="Y28" s="56"/>
      <c r="Z28" s="56"/>
      <c r="AA28" s="56"/>
      <c r="AB28" s="56"/>
      <c r="AC28" s="57"/>
      <c r="AD28" s="56"/>
      <c r="AE28" s="56"/>
      <c r="AF28" s="56"/>
      <c r="AG28" s="56"/>
      <c r="AH28" s="56"/>
      <c r="AI28" s="56"/>
      <c r="AJ28" s="56"/>
    </row>
    <row r="29" customFormat="false" ht="15" hidden="false" customHeight="false" outlineLevel="0" collapsed="false">
      <c r="B29" s="2" t="s">
        <v>70</v>
      </c>
      <c r="C29" s="2"/>
      <c r="D29" s="2"/>
      <c r="E29" s="2"/>
      <c r="F29" s="2"/>
      <c r="G29" s="2"/>
      <c r="H29" s="2"/>
      <c r="J29" s="54" t="n">
        <v>5</v>
      </c>
      <c r="K29" s="54" t="s">
        <v>0</v>
      </c>
      <c r="L29" s="54" t="s">
        <v>2</v>
      </c>
      <c r="M29" s="54" t="n">
        <f aca="false">E22</f>
        <v>1.09517970523668</v>
      </c>
      <c r="N29" s="55" t="n">
        <f aca="false">E31</f>
        <v>0.559283459420003</v>
      </c>
      <c r="O29" s="54" t="n">
        <f aca="false">N29-M29</f>
        <v>-0.535896245816676</v>
      </c>
      <c r="P29" s="46"/>
      <c r="Q29" s="46"/>
      <c r="R29" s="46"/>
      <c r="T29" s="34"/>
      <c r="U29" s="35"/>
      <c r="V29" s="13" t="n">
        <v>0.00459882254854982</v>
      </c>
      <c r="W29" s="13" t="n">
        <v>-0.00884026724462572</v>
      </c>
      <c r="X29" s="13" t="n">
        <f aca="false">PRODUCT(V29:W29)</f>
        <v>-4.06548203397912E-005</v>
      </c>
      <c r="Y29" s="56"/>
      <c r="Z29" s="56"/>
      <c r="AA29" s="56"/>
      <c r="AB29" s="56"/>
      <c r="AC29" s="57"/>
      <c r="AD29" s="56"/>
      <c r="AE29" s="56"/>
      <c r="AF29" s="56"/>
      <c r="AG29" s="56"/>
      <c r="AH29" s="56"/>
      <c r="AI29" s="56"/>
      <c r="AJ29" s="56"/>
    </row>
    <row r="30" customFormat="false" ht="15" hidden="false" customHeight="false" outlineLevel="0" collapsed="false">
      <c r="B30" s="47"/>
      <c r="C30" s="48" t="s">
        <v>0</v>
      </c>
      <c r="D30" s="48" t="s">
        <v>42</v>
      </c>
      <c r="E30" s="48" t="s">
        <v>2</v>
      </c>
      <c r="F30" s="48" t="s">
        <v>24</v>
      </c>
      <c r="G30" s="48" t="s">
        <v>25</v>
      </c>
      <c r="H30" s="48" t="s">
        <v>26</v>
      </c>
      <c r="J30" s="54" t="n">
        <v>6</v>
      </c>
      <c r="K30" s="55" t="s">
        <v>24</v>
      </c>
      <c r="L30" s="55" t="s">
        <v>26</v>
      </c>
      <c r="M30" s="55" t="n">
        <f aca="false">H25</f>
        <v>1.00718035943748</v>
      </c>
      <c r="N30" s="55" t="n">
        <f aca="false">H34</f>
        <v>0.461494133308635</v>
      </c>
      <c r="O30" s="54" t="n">
        <f aca="false">N30-M30</f>
        <v>-0.545686226128846</v>
      </c>
      <c r="P30" s="46"/>
      <c r="Q30" s="46"/>
      <c r="R30" s="46"/>
      <c r="T30" s="34"/>
      <c r="U30" s="35"/>
      <c r="V30" s="13" t="n">
        <v>-0.0148035597914546</v>
      </c>
      <c r="W30" s="13" t="n">
        <v>0.0107736465310566</v>
      </c>
      <c r="X30" s="13" t="n">
        <f aca="false">PRODUCT(V30:W30)</f>
        <v>-0.000159488320594494</v>
      </c>
      <c r="Y30" s="56"/>
      <c r="Z30" s="56"/>
      <c r="AA30" s="56"/>
      <c r="AB30" s="56"/>
      <c r="AC30" s="57"/>
      <c r="AD30" s="56"/>
      <c r="AE30" s="56"/>
      <c r="AF30" s="56"/>
      <c r="AG30" s="56"/>
      <c r="AH30" s="56"/>
      <c r="AI30" s="56"/>
      <c r="AJ30" s="56"/>
    </row>
    <row r="31" customFormat="false" ht="15" hidden="false" customHeight="false" outlineLevel="0" collapsed="false">
      <c r="B31" s="16" t="s">
        <v>0</v>
      </c>
      <c r="C31" s="49" t="n">
        <v>0</v>
      </c>
      <c r="D31" s="41" t="n">
        <f aca="false">SQRT(2 * (1 - D13))</f>
        <v>0.512972193466329</v>
      </c>
      <c r="E31" s="41" t="n">
        <f aca="false">SQRT(2 * (1 - E13))</f>
        <v>0.559283459420003</v>
      </c>
      <c r="F31" s="41" t="n">
        <f aca="false">SQRT(2 * (1 - F13))</f>
        <v>0.40002580272683</v>
      </c>
      <c r="G31" s="41" t="n">
        <f aca="false">SQRT(2 * (1 - G13))</f>
        <v>0.621197331476686</v>
      </c>
      <c r="H31" s="41" t="n">
        <f aca="false">SQRT(2 * (1 - H13))</f>
        <v>0.503659754872952</v>
      </c>
      <c r="J31" s="54" t="n">
        <v>7</v>
      </c>
      <c r="K31" s="54" t="s">
        <v>1</v>
      </c>
      <c r="L31" s="54" t="s">
        <v>24</v>
      </c>
      <c r="M31" s="54" t="n">
        <f aca="false">F23</f>
        <v>1.13054277335825</v>
      </c>
      <c r="N31" s="55" t="n">
        <f aca="false">F32</f>
        <v>0.575907914278917</v>
      </c>
      <c r="O31" s="54" t="n">
        <f aca="false">N31-M31</f>
        <v>-0.554634859079336</v>
      </c>
      <c r="P31" s="46"/>
      <c r="Q31" s="46"/>
      <c r="R31" s="46"/>
      <c r="T31" s="34"/>
      <c r="U31" s="35"/>
      <c r="V31" s="13" t="n">
        <v>-0.0187925693350444</v>
      </c>
      <c r="W31" s="13" t="n">
        <v>0.00441691993237292</v>
      </c>
      <c r="X31" s="13" t="n">
        <f aca="false">PRODUCT(V31:W31)</f>
        <v>-8.30052740764577E-005</v>
      </c>
      <c r="Y31" s="56"/>
      <c r="Z31" s="56"/>
      <c r="AA31" s="56"/>
      <c r="AB31" s="56"/>
      <c r="AC31" s="57"/>
      <c r="AD31" s="56"/>
      <c r="AE31" s="56"/>
      <c r="AF31" s="56"/>
      <c r="AG31" s="56"/>
      <c r="AH31" s="56"/>
      <c r="AI31" s="56"/>
      <c r="AJ31" s="56"/>
    </row>
    <row r="32" customFormat="false" ht="15" hidden="false" customHeight="false" outlineLevel="0" collapsed="false">
      <c r="B32" s="16" t="s">
        <v>1</v>
      </c>
      <c r="C32" s="41" t="n">
        <f aca="false">SQRT(2 * (1 - C14))</f>
        <v>0.512972193466329</v>
      </c>
      <c r="D32" s="49" t="n">
        <v>0</v>
      </c>
      <c r="E32" s="41" t="n">
        <f aca="false">SQRT(2 * (1 - E14))</f>
        <v>0.644156109767555</v>
      </c>
      <c r="F32" s="41" t="n">
        <f aca="false">SQRT(2 * (1 - F14))</f>
        <v>0.575907914278917</v>
      </c>
      <c r="G32" s="41" t="n">
        <f aca="false">SQRT(2 * (1 - G14))</f>
        <v>0.611594222717095</v>
      </c>
      <c r="H32" s="41" t="n">
        <f aca="false">SQRT(2 * (1 - H14))</f>
        <v>0.496309628015425</v>
      </c>
      <c r="J32" s="54" t="n">
        <v>8</v>
      </c>
      <c r="K32" s="55" t="s">
        <v>2</v>
      </c>
      <c r="L32" s="55" t="s">
        <v>25</v>
      </c>
      <c r="M32" s="55" t="n">
        <f aca="false">G24</f>
        <v>1.23381485630511</v>
      </c>
      <c r="N32" s="55" t="n">
        <f aca="false">G33</f>
        <v>0.645061705300756</v>
      </c>
      <c r="O32" s="54" t="n">
        <f aca="false">N32-M32</f>
        <v>-0.588753151004355</v>
      </c>
      <c r="P32" s="46"/>
      <c r="Q32" s="46"/>
      <c r="R32" s="46"/>
      <c r="T32" s="34"/>
      <c r="U32" s="35"/>
      <c r="V32" s="13" t="n">
        <v>-0.0183698540485633</v>
      </c>
      <c r="W32" s="13" t="n">
        <v>-0.0217663815648557</v>
      </c>
      <c r="X32" s="13" t="n">
        <f aca="false">PRODUCT(V32:W32)</f>
        <v>0.000399845252511738</v>
      </c>
      <c r="Y32" s="56"/>
      <c r="Z32" s="56"/>
      <c r="AA32" s="56"/>
      <c r="AB32" s="56"/>
      <c r="AC32" s="57"/>
      <c r="AD32" s="56"/>
      <c r="AE32" s="56"/>
      <c r="AF32" s="56"/>
      <c r="AG32" s="56"/>
      <c r="AH32" s="56"/>
      <c r="AI32" s="56"/>
      <c r="AJ32" s="56"/>
    </row>
    <row r="33" customFormat="false" ht="15" hidden="false" customHeight="false" outlineLevel="0" collapsed="false">
      <c r="B33" s="16" t="s">
        <v>2</v>
      </c>
      <c r="C33" s="41" t="n">
        <f aca="false">SQRT(2 * (1 - C15))</f>
        <v>0.559283459420003</v>
      </c>
      <c r="D33" s="41" t="n">
        <f aca="false">SQRT(2 * (1 - D15))</f>
        <v>0.644156109767555</v>
      </c>
      <c r="E33" s="49" t="n">
        <v>0</v>
      </c>
      <c r="F33" s="41" t="n">
        <f aca="false">SQRT(2 * (1 - F15))</f>
        <v>0.4513313465153</v>
      </c>
      <c r="G33" s="41" t="n">
        <f aca="false">SQRT(2 * (1 - G15))</f>
        <v>0.645061705300756</v>
      </c>
      <c r="H33" s="41" t="n">
        <f aca="false">SQRT(2 * (1 - H15))</f>
        <v>0.56953882016893</v>
      </c>
      <c r="J33" s="54" t="n">
        <v>9</v>
      </c>
      <c r="K33" s="55" t="s">
        <v>2</v>
      </c>
      <c r="L33" s="55" t="s">
        <v>26</v>
      </c>
      <c r="M33" s="55" t="n">
        <f aca="false">H24</f>
        <v>1.16329704792689</v>
      </c>
      <c r="N33" s="55" t="n">
        <f aca="false">H33</f>
        <v>0.56953882016893</v>
      </c>
      <c r="O33" s="54" t="n">
        <f aca="false">N33-M33</f>
        <v>-0.593758227757962</v>
      </c>
      <c r="P33" s="46"/>
      <c r="Q33" s="46"/>
      <c r="R33" s="46"/>
      <c r="T33" s="34"/>
      <c r="U33" s="35"/>
      <c r="V33" s="13" t="n">
        <v>-0.0316855497869959</v>
      </c>
      <c r="W33" s="13" t="n">
        <v>-0.0390198846963248</v>
      </c>
      <c r="X33" s="13" t="n">
        <f aca="false">PRODUCT(V33:W33)</f>
        <v>0.00123636649922824</v>
      </c>
      <c r="Y33" s="56"/>
      <c r="Z33" s="56"/>
      <c r="AA33" s="56"/>
      <c r="AB33" s="56"/>
      <c r="AC33" s="57"/>
      <c r="AD33" s="56"/>
      <c r="AE33" s="56"/>
      <c r="AF33" s="56"/>
      <c r="AG33" s="56"/>
      <c r="AH33" s="56"/>
      <c r="AI33" s="56"/>
      <c r="AJ33" s="56"/>
    </row>
    <row r="34" customFormat="false" ht="15" hidden="false" customHeight="false" outlineLevel="0" collapsed="false">
      <c r="B34" s="16" t="s">
        <v>24</v>
      </c>
      <c r="C34" s="41" t="n">
        <f aca="false">SQRT(2 * (1 - C16))</f>
        <v>0.40002580272683</v>
      </c>
      <c r="D34" s="41" t="n">
        <f aca="false">SQRT(2 * (1 - D16))</f>
        <v>0.575907914278917</v>
      </c>
      <c r="E34" s="41" t="n">
        <f aca="false">SQRT(2 * (1 - E16))</f>
        <v>0.4513313465153</v>
      </c>
      <c r="F34" s="49" t="n">
        <v>0</v>
      </c>
      <c r="G34" s="41" t="n">
        <f aca="false">SQRT(2 * (1 - G16))</f>
        <v>0.583810854319912</v>
      </c>
      <c r="H34" s="41" t="n">
        <f aca="false">SQRT(2 * (1 - H16))</f>
        <v>0.461494133308635</v>
      </c>
      <c r="J34" s="54" t="n">
        <v>10</v>
      </c>
      <c r="K34" s="54" t="s">
        <v>1</v>
      </c>
      <c r="L34" s="54" t="s">
        <v>25</v>
      </c>
      <c r="M34" s="54" t="n">
        <f aca="false">G23</f>
        <v>1.2434983404807</v>
      </c>
      <c r="N34" s="55" t="n">
        <f aca="false">G32</f>
        <v>0.611594222717095</v>
      </c>
      <c r="O34" s="54" t="n">
        <f aca="false">N34-M34</f>
        <v>-0.631904117763608</v>
      </c>
      <c r="T34" s="34"/>
      <c r="U34" s="35"/>
      <c r="V34" s="13" t="n">
        <v>0.0503081111498069</v>
      </c>
      <c r="W34" s="13" t="n">
        <v>-0.0371937628734642</v>
      </c>
      <c r="X34" s="13" t="n">
        <f aca="false">PRODUCT(V34:W34)</f>
        <v>-0.0018711479567178</v>
      </c>
      <c r="Y34" s="56"/>
      <c r="Z34" s="56"/>
      <c r="AA34" s="56"/>
      <c r="AB34" s="56"/>
      <c r="AC34" s="57"/>
      <c r="AD34" s="56"/>
      <c r="AE34" s="56"/>
      <c r="AF34" s="56"/>
      <c r="AG34" s="56"/>
      <c r="AH34" s="56"/>
      <c r="AI34" s="56"/>
      <c r="AJ34" s="56"/>
    </row>
    <row r="35" customFormat="false" ht="15" hidden="false" customHeight="false" outlineLevel="0" collapsed="false">
      <c r="B35" s="16" t="s">
        <v>25</v>
      </c>
      <c r="C35" s="41" t="n">
        <f aca="false">SQRT(2 * (1 - C17))</f>
        <v>0.621197331476686</v>
      </c>
      <c r="D35" s="41" t="n">
        <f aca="false">SQRT(2 * (1 - D17))</f>
        <v>0.611594222717095</v>
      </c>
      <c r="E35" s="41" t="n">
        <f aca="false">SQRT(2 * (1 - E17))</f>
        <v>0.645061705300756</v>
      </c>
      <c r="F35" s="41" t="n">
        <f aca="false">SQRT(2 * (1 - F17))</f>
        <v>0.583810854319912</v>
      </c>
      <c r="G35" s="49" t="n">
        <v>0</v>
      </c>
      <c r="H35" s="41" t="n">
        <f aca="false">SQRT(2 * (1 - H17))</f>
        <v>0.614916199535241</v>
      </c>
      <c r="J35" s="54" t="n">
        <v>11</v>
      </c>
      <c r="K35" s="54" t="s">
        <v>0</v>
      </c>
      <c r="L35" s="54" t="s">
        <v>24</v>
      </c>
      <c r="M35" s="54" t="n">
        <f aca="false">F22</f>
        <v>1.07026341049571</v>
      </c>
      <c r="N35" s="55" t="n">
        <f aca="false">F31</f>
        <v>0.40002580272683</v>
      </c>
      <c r="O35" s="54" t="n">
        <f aca="false">N35-M35</f>
        <v>-0.670237607768879</v>
      </c>
      <c r="T35" s="34"/>
      <c r="U35" s="35"/>
      <c r="V35" s="13" t="n">
        <v>-0.0271564689414774</v>
      </c>
      <c r="W35" s="13" t="n">
        <v>-0.0449913194219143</v>
      </c>
      <c r="X35" s="13" t="n">
        <f aca="false">PRODUCT(V35:W35)</f>
        <v>0.0012218053685173</v>
      </c>
      <c r="Y35" s="56"/>
      <c r="Z35" s="56"/>
      <c r="AA35" s="56"/>
      <c r="AB35" s="56"/>
      <c r="AC35" s="57"/>
      <c r="AD35" s="56"/>
      <c r="AE35" s="56"/>
      <c r="AF35" s="56"/>
      <c r="AG35" s="56"/>
      <c r="AH35" s="56"/>
      <c r="AI35" s="56"/>
      <c r="AJ35" s="56"/>
    </row>
    <row r="36" customFormat="false" ht="15" hidden="false" customHeight="false" outlineLevel="0" collapsed="false">
      <c r="B36" s="16" t="s">
        <v>26</v>
      </c>
      <c r="C36" s="41" t="n">
        <f aca="false">SQRT(2 * (1 - C18))</f>
        <v>0.503659754872952</v>
      </c>
      <c r="D36" s="41" t="n">
        <f aca="false">SQRT(2 * (1 - D18))</f>
        <v>0.496309628015425</v>
      </c>
      <c r="E36" s="41" t="n">
        <f aca="false">SQRT(2 * (1 - E18))</f>
        <v>0.56953882016893</v>
      </c>
      <c r="F36" s="41" t="n">
        <f aca="false">SQRT(2 * (1 - F18))</f>
        <v>0.461494133308635</v>
      </c>
      <c r="G36" s="41" t="n">
        <f aca="false">SQRT(2 * (1 - G18))</f>
        <v>0.614916199535241</v>
      </c>
      <c r="H36" s="49" t="n">
        <v>0</v>
      </c>
      <c r="J36" s="54" t="n">
        <v>12</v>
      </c>
      <c r="K36" s="54" t="s">
        <v>0</v>
      </c>
      <c r="L36" s="54" t="s">
        <v>1</v>
      </c>
      <c r="M36" s="54" t="n">
        <f aca="false">D22</f>
        <v>1.19197225691214</v>
      </c>
      <c r="N36" s="55" t="n">
        <f aca="false">D31</f>
        <v>0.512972193466329</v>
      </c>
      <c r="O36" s="54" t="n">
        <f aca="false">N36-M36</f>
        <v>-0.679000063445813</v>
      </c>
      <c r="T36" s="34"/>
      <c r="U36" s="35"/>
      <c r="V36" s="13" t="n">
        <v>0.00408975097046316</v>
      </c>
      <c r="W36" s="13" t="n">
        <v>0.00399561099786183</v>
      </c>
      <c r="X36" s="13" t="n">
        <f aca="false">PRODUCT(V36:W36)</f>
        <v>1.63410539560987E-005</v>
      </c>
      <c r="Y36" s="56"/>
      <c r="Z36" s="56"/>
      <c r="AA36" s="56"/>
      <c r="AB36" s="56"/>
      <c r="AC36" s="57"/>
      <c r="AD36" s="56"/>
      <c r="AE36" s="56"/>
      <c r="AF36" s="56"/>
      <c r="AG36" s="56"/>
      <c r="AH36" s="56"/>
      <c r="AI36" s="56"/>
      <c r="AJ36" s="56"/>
    </row>
    <row r="37" customFormat="false" ht="15" hidden="false" customHeight="false" outlineLevel="0" collapsed="false">
      <c r="J37" s="54" t="n">
        <v>13</v>
      </c>
      <c r="K37" s="54" t="s">
        <v>2</v>
      </c>
      <c r="L37" s="54" t="s">
        <v>24</v>
      </c>
      <c r="M37" s="54" t="n">
        <f aca="false">F23</f>
        <v>1.13054277335825</v>
      </c>
      <c r="N37" s="55" t="n">
        <f aca="false">F33</f>
        <v>0.4513313465153</v>
      </c>
      <c r="O37" s="54" t="n">
        <f aca="false">N37-M37</f>
        <v>-0.679211426842953</v>
      </c>
      <c r="T37" s="34"/>
      <c r="U37" s="35"/>
      <c r="V37" s="13" t="n">
        <v>-0.0822773106161368</v>
      </c>
      <c r="W37" s="13" t="n">
        <v>-0.0939446476819228</v>
      </c>
      <c r="X37" s="13" t="n">
        <f aca="false">PRODUCT(V37:W37)</f>
        <v>0.0077295129580491</v>
      </c>
      <c r="Y37" s="56"/>
      <c r="Z37" s="56"/>
      <c r="AA37" s="56"/>
      <c r="AB37" s="56"/>
      <c r="AC37" s="57"/>
      <c r="AD37" s="56"/>
      <c r="AE37" s="56"/>
      <c r="AF37" s="56"/>
      <c r="AG37" s="56"/>
      <c r="AH37" s="56"/>
      <c r="AI37" s="56"/>
      <c r="AJ37" s="56"/>
    </row>
    <row r="38" customFormat="false" ht="15" hidden="false" customHeight="false" outlineLevel="0" collapsed="false">
      <c r="J38" s="54" t="n">
        <v>14</v>
      </c>
      <c r="K38" s="54" t="s">
        <v>0</v>
      </c>
      <c r="L38" s="54" t="s">
        <v>26</v>
      </c>
      <c r="M38" s="54" t="n">
        <f aca="false">H22</f>
        <v>1.25980254462013</v>
      </c>
      <c r="N38" s="55" t="n">
        <f aca="false">H31</f>
        <v>0.503659754872952</v>
      </c>
      <c r="O38" s="54" t="n">
        <f aca="false">N38-M38</f>
        <v>-0.756142789747173</v>
      </c>
      <c r="T38" s="34"/>
      <c r="U38" s="35"/>
      <c r="V38" s="13" t="n">
        <v>0.0141270036848233</v>
      </c>
      <c r="W38" s="13" t="n">
        <v>-0.0266611252950337</v>
      </c>
      <c r="X38" s="13" t="n">
        <f aca="false">PRODUCT(V38:W38)</f>
        <v>-0.000376641815284477</v>
      </c>
      <c r="Y38" s="56"/>
      <c r="Z38" s="56"/>
      <c r="AA38" s="56"/>
      <c r="AB38" s="56"/>
      <c r="AC38" s="57"/>
      <c r="AD38" s="56"/>
      <c r="AE38" s="56"/>
      <c r="AF38" s="56"/>
      <c r="AG38" s="56"/>
      <c r="AH38" s="56"/>
      <c r="AI38" s="56"/>
      <c r="AJ38" s="56"/>
    </row>
    <row r="39" customFormat="false" ht="15" hidden="false" customHeight="false" outlineLevel="0" collapsed="false">
      <c r="J39" s="54" t="n">
        <v>15</v>
      </c>
      <c r="K39" s="54" t="s">
        <v>1</v>
      </c>
      <c r="L39" s="54" t="s">
        <v>26</v>
      </c>
      <c r="M39" s="54" t="n">
        <f aca="false">H23</f>
        <v>1.37034092317315</v>
      </c>
      <c r="N39" s="55" t="n">
        <f aca="false">H35</f>
        <v>0.614916199535241</v>
      </c>
      <c r="O39" s="54" t="n">
        <f aca="false">N39-M39</f>
        <v>-0.755424723637909</v>
      </c>
      <c r="T39" s="34"/>
      <c r="U39" s="35"/>
      <c r="V39" s="13" t="n">
        <v>-0.210501566281677</v>
      </c>
      <c r="W39" s="13" t="n">
        <v>-0.284180143237627</v>
      </c>
      <c r="X39" s="13" t="n">
        <f aca="false">PRODUCT(V39:W39)</f>
        <v>0.0598203652576718</v>
      </c>
      <c r="Y39" s="56"/>
      <c r="Z39" s="56"/>
      <c r="AA39" s="56"/>
      <c r="AB39" s="56"/>
      <c r="AC39" s="57"/>
      <c r="AD39" s="56"/>
      <c r="AE39" s="56"/>
      <c r="AF39" s="56"/>
      <c r="AG39" s="56"/>
      <c r="AH39" s="56"/>
      <c r="AI39" s="56"/>
      <c r="AJ39" s="56"/>
    </row>
    <row r="40" customFormat="false" ht="15" hidden="false" customHeight="false" outlineLevel="0" collapsed="false">
      <c r="T40" s="34"/>
      <c r="U40" s="35"/>
      <c r="V40" s="13" t="n">
        <v>-0.190191858595584</v>
      </c>
      <c r="W40" s="13" t="n">
        <v>-0.232914983408913</v>
      </c>
      <c r="X40" s="13" t="n">
        <f aca="false">PRODUCT(V40:W40)</f>
        <v>0.0442985335893008</v>
      </c>
      <c r="Y40" s="56"/>
      <c r="Z40" s="56"/>
      <c r="AA40" s="56"/>
      <c r="AB40" s="56"/>
      <c r="AC40" s="57"/>
      <c r="AD40" s="56"/>
      <c r="AE40" s="56"/>
      <c r="AF40" s="56"/>
      <c r="AG40" s="56"/>
      <c r="AH40" s="56"/>
      <c r="AI40" s="56"/>
      <c r="AJ40" s="56"/>
    </row>
    <row r="41" customFormat="false" ht="15" hidden="false" customHeight="false" outlineLevel="0" collapsed="false">
      <c r="J41" s="50" t="s">
        <v>71</v>
      </c>
      <c r="K41" s="50"/>
      <c r="L41" s="50"/>
      <c r="M41" s="50"/>
      <c r="N41" s="50"/>
      <c r="O41" s="50"/>
      <c r="T41" s="34"/>
      <c r="U41" s="35"/>
      <c r="V41" s="13" t="n">
        <v>0.119322626148417</v>
      </c>
      <c r="W41" s="13" t="n">
        <v>0.0910421215789228</v>
      </c>
      <c r="X41" s="13" t="n">
        <f aca="false">PRODUCT(V41:W41)</f>
        <v>0.0108633850369205</v>
      </c>
      <c r="Y41" s="56"/>
      <c r="Z41" s="56"/>
      <c r="AA41" s="56"/>
      <c r="AB41" s="56"/>
      <c r="AC41" s="57"/>
      <c r="AD41" s="56"/>
      <c r="AE41" s="56"/>
      <c r="AF41" s="56"/>
      <c r="AG41" s="56"/>
      <c r="AH41" s="56"/>
      <c r="AI41" s="56"/>
      <c r="AJ41" s="56"/>
    </row>
    <row r="42" customFormat="false" ht="15" hidden="false" customHeight="false" outlineLevel="0" collapsed="false">
      <c r="J42" s="51"/>
      <c r="K42" s="52" t="s">
        <v>43</v>
      </c>
      <c r="L42" s="52"/>
      <c r="M42" s="52" t="s">
        <v>65</v>
      </c>
      <c r="N42" s="52"/>
      <c r="O42" s="51" t="s">
        <v>72</v>
      </c>
      <c r="T42" s="34"/>
      <c r="U42" s="35"/>
      <c r="V42" s="13" t="n">
        <v>0.0153464645675871</v>
      </c>
      <c r="W42" s="13" t="n">
        <v>0.0381187997584291</v>
      </c>
      <c r="X42" s="13" t="n">
        <f aca="false">PRODUCT(V42:W42)</f>
        <v>0.00058498880985168</v>
      </c>
      <c r="Y42" s="56"/>
      <c r="Z42" s="56"/>
      <c r="AA42" s="56"/>
      <c r="AB42" s="56"/>
      <c r="AC42" s="57"/>
      <c r="AD42" s="56"/>
      <c r="AE42" s="56"/>
      <c r="AF42" s="56"/>
      <c r="AG42" s="56"/>
      <c r="AH42" s="56"/>
      <c r="AI42" s="56"/>
      <c r="AJ42" s="56"/>
    </row>
    <row r="43" customFormat="false" ht="15" hidden="false" customHeight="false" outlineLevel="0" collapsed="false">
      <c r="J43" s="51" t="s">
        <v>60</v>
      </c>
      <c r="K43" s="51" t="s">
        <v>45</v>
      </c>
      <c r="L43" s="51" t="s">
        <v>46</v>
      </c>
      <c r="M43" s="51" t="s">
        <v>67</v>
      </c>
      <c r="N43" s="53" t="s">
        <v>68</v>
      </c>
      <c r="O43" s="51" t="s">
        <v>69</v>
      </c>
      <c r="T43" s="34"/>
      <c r="U43" s="35"/>
      <c r="V43" s="13" t="n">
        <v>0.00502953806093398</v>
      </c>
      <c r="W43" s="13" t="n">
        <v>0.0137695686909982</v>
      </c>
      <c r="X43" s="13" t="n">
        <f aca="false">PRODUCT(V43:W43)</f>
        <v>6.92545698140203E-005</v>
      </c>
      <c r="Y43" s="56"/>
      <c r="Z43" s="56"/>
      <c r="AA43" s="56"/>
      <c r="AB43" s="56"/>
      <c r="AC43" s="57"/>
      <c r="AD43" s="56"/>
      <c r="AE43" s="56"/>
      <c r="AF43" s="56"/>
      <c r="AG43" s="56"/>
      <c r="AH43" s="56"/>
      <c r="AI43" s="56"/>
      <c r="AJ43" s="56"/>
    </row>
    <row r="44" customFormat="false" ht="15" hidden="false" customHeight="false" outlineLevel="0" collapsed="false">
      <c r="J44" s="54" t="n">
        <v>1</v>
      </c>
      <c r="K44" s="55" t="s">
        <v>24</v>
      </c>
      <c r="L44" s="55" t="s">
        <v>25</v>
      </c>
      <c r="M44" s="55" t="n">
        <f aca="false">G7</f>
        <v>0.700198246202028</v>
      </c>
      <c r="N44" s="55" t="n">
        <f aca="false">G16</f>
        <v>0.829582443189127</v>
      </c>
      <c r="O44" s="54" t="n">
        <f aca="false">N44-M44</f>
        <v>0.129384196987099</v>
      </c>
      <c r="T44" s="34"/>
      <c r="U44" s="35"/>
      <c r="V44" s="13" t="n">
        <v>0.0431946019263032</v>
      </c>
      <c r="W44" s="13" t="n">
        <v>0.081575379710717</v>
      </c>
      <c r="X44" s="13" t="n">
        <f aca="false">PRODUCT(V44:W44)</f>
        <v>0.00352361605359145</v>
      </c>
      <c r="Y44" s="56"/>
      <c r="Z44" s="56"/>
      <c r="AA44" s="56"/>
      <c r="AB44" s="56"/>
      <c r="AC44" s="57"/>
      <c r="AD44" s="56"/>
      <c r="AE44" s="56"/>
      <c r="AF44" s="56"/>
      <c r="AG44" s="56"/>
      <c r="AH44" s="56"/>
      <c r="AI44" s="56"/>
      <c r="AJ44" s="56"/>
    </row>
    <row r="45" customFormat="false" ht="15" hidden="false" customHeight="false" outlineLevel="0" collapsed="false">
      <c r="J45" s="54" t="n">
        <v>2</v>
      </c>
      <c r="K45" s="55" t="s">
        <v>25</v>
      </c>
      <c r="L45" s="55" t="s">
        <v>26</v>
      </c>
      <c r="M45" s="55" t="n">
        <f aca="false">H8</f>
        <v>0.51545110582067</v>
      </c>
      <c r="N45" s="55" t="n">
        <f aca="false">H17</f>
        <v>0.810939033774568</v>
      </c>
      <c r="O45" s="54" t="n">
        <f aca="false">N45-M45</f>
        <v>0.295487927953898</v>
      </c>
      <c r="T45" s="34"/>
      <c r="U45" s="35"/>
      <c r="V45" s="13" t="n">
        <v>-0.087473711696294</v>
      </c>
      <c r="W45" s="13" t="n">
        <v>-0.0206393287696578</v>
      </c>
      <c r="X45" s="13" t="n">
        <f aca="false">PRODUCT(V45:W45)</f>
        <v>0.00180539869440207</v>
      </c>
      <c r="Y45" s="56"/>
      <c r="Z45" s="56"/>
      <c r="AA45" s="56"/>
      <c r="AB45" s="56"/>
      <c r="AC45" s="57"/>
      <c r="AD45" s="56"/>
      <c r="AE45" s="56"/>
      <c r="AF45" s="56"/>
      <c r="AG45" s="56"/>
      <c r="AH45" s="56"/>
      <c r="AI45" s="56"/>
      <c r="AJ45" s="56"/>
    </row>
    <row r="46" customFormat="false" ht="15" hidden="false" customHeight="false" outlineLevel="0" collapsed="false">
      <c r="J46" s="54" t="n">
        <v>3</v>
      </c>
      <c r="K46" s="54" t="s">
        <v>0</v>
      </c>
      <c r="L46" s="54" t="s">
        <v>25</v>
      </c>
      <c r="M46" s="54" t="n">
        <f aca="false">G4</f>
        <v>0.447992040176785</v>
      </c>
      <c r="N46" s="55" t="n">
        <f aca="false">G13</f>
        <v>0.807056937683122</v>
      </c>
      <c r="O46" s="54" t="n">
        <f aca="false">N46-M46</f>
        <v>0.359064897506337</v>
      </c>
      <c r="T46" s="34"/>
      <c r="U46" s="35"/>
      <c r="V46" s="13" t="n">
        <v>0.0732795320897504</v>
      </c>
      <c r="W46" s="13" t="n">
        <v>0.0249706018562534</v>
      </c>
      <c r="X46" s="13" t="n">
        <f aca="false">PRODUCT(V46:W46)</f>
        <v>0.0018298340200257</v>
      </c>
      <c r="Y46" s="56"/>
      <c r="Z46" s="56"/>
      <c r="AA46" s="56"/>
      <c r="AB46" s="56"/>
      <c r="AC46" s="57"/>
      <c r="AD46" s="56"/>
      <c r="AE46" s="56"/>
      <c r="AF46" s="56"/>
      <c r="AG46" s="56"/>
      <c r="AH46" s="56"/>
      <c r="AI46" s="56"/>
      <c r="AJ46" s="56"/>
    </row>
    <row r="47" customFormat="false" ht="15" hidden="false" customHeight="false" outlineLevel="0" collapsed="false">
      <c r="J47" s="54" t="n">
        <v>4</v>
      </c>
      <c r="K47" s="55" t="s">
        <v>24</v>
      </c>
      <c r="L47" s="55" t="s">
        <v>26</v>
      </c>
      <c r="M47" s="55" t="n">
        <f aca="false">H7</f>
        <v>0.492793861781693</v>
      </c>
      <c r="N47" s="55" t="n">
        <f aca="false">H16</f>
        <v>0.893511582460856</v>
      </c>
      <c r="O47" s="54" t="n">
        <f aca="false">N47-M47</f>
        <v>0.400717720679163</v>
      </c>
      <c r="T47" s="34"/>
      <c r="U47" s="35"/>
      <c r="V47" s="13" t="n">
        <v>0.00445633154097713</v>
      </c>
      <c r="W47" s="13" t="n">
        <v>-0.0406842233261351</v>
      </c>
      <c r="X47" s="13" t="n">
        <f aca="false">PRODUCT(V47:W47)</f>
        <v>-0.000181302387628413</v>
      </c>
      <c r="Y47" s="56"/>
      <c r="Z47" s="56"/>
      <c r="AA47" s="56"/>
      <c r="AB47" s="56"/>
      <c r="AC47" s="57"/>
      <c r="AD47" s="56"/>
      <c r="AE47" s="56"/>
      <c r="AF47" s="56"/>
      <c r="AG47" s="56"/>
      <c r="AH47" s="56"/>
      <c r="AI47" s="56"/>
      <c r="AJ47" s="56"/>
    </row>
    <row r="48" customFormat="false" ht="15" hidden="false" customHeight="false" outlineLevel="0" collapsed="false">
      <c r="J48" s="54" t="n">
        <v>5</v>
      </c>
      <c r="K48" s="54" t="s">
        <v>1</v>
      </c>
      <c r="L48" s="54" t="s">
        <v>2</v>
      </c>
      <c r="M48" s="54" t="n">
        <f aca="false">E5</f>
        <v>0.383701299301501</v>
      </c>
      <c r="N48" s="55" t="n">
        <f aca="false">E14</f>
        <v>0.792531453124565</v>
      </c>
      <c r="O48" s="54" t="n">
        <f aca="false">N48-M48</f>
        <v>0.408830153823064</v>
      </c>
      <c r="T48" s="34"/>
      <c r="U48" s="35"/>
      <c r="V48" s="13" t="n">
        <v>-0.0334567538607367</v>
      </c>
      <c r="W48" s="13" t="n">
        <v>-0.00340559559759157</v>
      </c>
      <c r="X48" s="13" t="n">
        <f aca="false">PRODUCT(V48:W48)</f>
        <v>0.00011394017365783</v>
      </c>
      <c r="Y48" s="56"/>
      <c r="Z48" s="56"/>
      <c r="AA48" s="56"/>
      <c r="AB48" s="56"/>
      <c r="AC48" s="57"/>
      <c r="AD48" s="56"/>
      <c r="AE48" s="56"/>
      <c r="AF48" s="56"/>
      <c r="AG48" s="56"/>
      <c r="AH48" s="56"/>
      <c r="AI48" s="56"/>
      <c r="AJ48" s="56"/>
    </row>
    <row r="49" customFormat="false" ht="15" hidden="false" customHeight="false" outlineLevel="0" collapsed="false">
      <c r="J49" s="54" t="n">
        <v>6</v>
      </c>
      <c r="K49" s="54" t="s">
        <v>0</v>
      </c>
      <c r="L49" s="54" t="s">
        <v>2</v>
      </c>
      <c r="M49" s="54" t="n">
        <f aca="false">E4</f>
        <v>0.40029070661885</v>
      </c>
      <c r="N49" s="55" t="n">
        <f aca="false">E13</f>
        <v>0.843601006009597</v>
      </c>
      <c r="O49" s="54" t="n">
        <f aca="false">N49-M49</f>
        <v>0.443310299390747</v>
      </c>
      <c r="T49" s="34"/>
      <c r="U49" s="35"/>
      <c r="V49" s="13" t="n">
        <v>-0.00804737261933042</v>
      </c>
      <c r="W49" s="13" t="n">
        <v>-0.00896475083917103</v>
      </c>
      <c r="X49" s="13" t="n">
        <f aca="false">PRODUCT(V49:W49)</f>
        <v>7.21426904422644E-005</v>
      </c>
      <c r="Y49" s="56"/>
      <c r="Z49" s="56"/>
      <c r="AA49" s="56"/>
      <c r="AB49" s="56"/>
      <c r="AC49" s="57"/>
      <c r="AD49" s="56"/>
      <c r="AE49" s="56"/>
      <c r="AF49" s="56"/>
      <c r="AG49" s="56"/>
      <c r="AH49" s="56"/>
      <c r="AI49" s="56"/>
      <c r="AJ49" s="56"/>
    </row>
    <row r="50" customFormat="false" ht="15" hidden="false" customHeight="false" outlineLevel="0" collapsed="false">
      <c r="J50" s="54" t="n">
        <v>7</v>
      </c>
      <c r="K50" s="54" t="s">
        <v>1</v>
      </c>
      <c r="L50" s="54" t="s">
        <v>24</v>
      </c>
      <c r="M50" s="54" t="n">
        <f aca="false">F5</f>
        <v>0.360936518803715</v>
      </c>
      <c r="N50" s="55" t="n">
        <f aca="false">F14</f>
        <v>0.834165037135454</v>
      </c>
      <c r="O50" s="54" t="n">
        <f aca="false">N50-M50</f>
        <v>0.473228518331739</v>
      </c>
      <c r="T50" s="34"/>
      <c r="U50" s="35"/>
      <c r="V50" s="13" t="n">
        <v>-0.010622160218789</v>
      </c>
      <c r="W50" s="13" t="n">
        <v>-0.0232339667685224</v>
      </c>
      <c r="X50" s="13" t="n">
        <f aca="false">PRODUCT(V50:W50)</f>
        <v>0.000246794917533264</v>
      </c>
      <c r="Y50" s="56"/>
      <c r="Z50" s="56"/>
      <c r="AA50" s="56"/>
      <c r="AB50" s="56"/>
      <c r="AC50" s="57"/>
      <c r="AD50" s="56"/>
      <c r="AE50" s="56"/>
      <c r="AF50" s="56"/>
      <c r="AG50" s="56"/>
      <c r="AH50" s="56"/>
      <c r="AI50" s="56"/>
      <c r="AJ50" s="56"/>
    </row>
    <row r="51" customFormat="false" ht="15" hidden="false" customHeight="false" outlineLevel="0" collapsed="false">
      <c r="J51" s="54" t="n">
        <v>8</v>
      </c>
      <c r="K51" s="54" t="s">
        <v>0</v>
      </c>
      <c r="L51" s="54" t="s">
        <v>24</v>
      </c>
      <c r="M51" s="54" t="n">
        <f aca="false">F4</f>
        <v>0.427268116077046</v>
      </c>
      <c r="N51" s="55" t="n">
        <f aca="false">F13</f>
        <v>0.919989678576378</v>
      </c>
      <c r="O51" s="54" t="n">
        <f aca="false">N51-M51</f>
        <v>0.492721562499332</v>
      </c>
      <c r="T51" s="34"/>
      <c r="U51" s="35" t="s">
        <v>2</v>
      </c>
      <c r="V51" s="16" t="n">
        <f aca="false" t="array" ref="V51:V71">'Data Gathering and ect'!F11:F31</f>
        <v>0.0100368413849186</v>
      </c>
      <c r="W51" s="16" t="n">
        <f aca="false" t="array" ref="W51:W71">'Data Gathering and ect'!F201:F221</f>
        <v>0.0264997946811612</v>
      </c>
      <c r="X51" s="16" t="n">
        <f aca="false">PRODUCT(V51:W51)</f>
        <v>0.000265974235947725</v>
      </c>
      <c r="Y51" s="58" t="n">
        <f aca="false">SUM(V51:V71)</f>
        <v>-0.0798562361055913</v>
      </c>
      <c r="Z51" s="58" t="n">
        <f aca="false">SUM(W51:W71)</f>
        <v>0.0557037353631662</v>
      </c>
      <c r="AA51" s="58" t="n">
        <f aca="false">SUM(X51:X71)</f>
        <v>0.00275296634581869</v>
      </c>
      <c r="AB51" s="43" t="n">
        <f aca="false">Y51*Z51</f>
        <v>-0.00444829064312438</v>
      </c>
      <c r="AC51" s="58" t="n">
        <f aca="false">COUNT(V51:V71)</f>
        <v>21</v>
      </c>
      <c r="AD51" s="43" t="n">
        <f aca="false" t="array" ref="AD51:AD51">SUM(POWER(V51:V71,2))</f>
        <v>0.00634129522044444</v>
      </c>
      <c r="AE51" s="43" t="n">
        <f aca="false" t="array" ref="AE51:AE51">SUM(POWER(W51:W71,2))</f>
        <v>0.00923370961463981</v>
      </c>
      <c r="AF51" s="43" t="n">
        <f aca="false">(AA51*AC51)-(AB51)</f>
        <v>0.0622605839053168</v>
      </c>
      <c r="AG51" s="43" t="n">
        <f aca="false">(AC51*AD51)-(POWER(Y51,2))</f>
        <v>0.126790181184381</v>
      </c>
      <c r="AH51" s="43" t="n">
        <f aca="false">(AC51*AE51)-(POWER(Z51,2))</f>
        <v>0.190804995774026</v>
      </c>
      <c r="AI51" s="43" t="n">
        <f aca="false">SQRT(AG51*AH51)</f>
        <v>0.155538419643103</v>
      </c>
      <c r="AJ51" s="43" t="n">
        <f aca="false">AF51 / AI51</f>
        <v>0.40029070661885</v>
      </c>
    </row>
    <row r="52" customFormat="false" ht="15" hidden="false" customHeight="false" outlineLevel="0" collapsed="false">
      <c r="J52" s="54" t="n">
        <v>9</v>
      </c>
      <c r="K52" s="55" t="s">
        <v>2</v>
      </c>
      <c r="L52" s="55" t="s">
        <v>26</v>
      </c>
      <c r="M52" s="55" t="n">
        <f aca="false">H6</f>
        <v>0.323369989142289</v>
      </c>
      <c r="N52" s="55" t="n">
        <f aca="false">H15</f>
        <v>0.837812766160292</v>
      </c>
      <c r="O52" s="54" t="n">
        <f aca="false">N52-M52</f>
        <v>0.514442777018003</v>
      </c>
      <c r="T52" s="34"/>
      <c r="U52" s="35"/>
      <c r="V52" s="16" t="n">
        <v>-8.14693416675283E-005</v>
      </c>
      <c r="W52" s="16" t="n">
        <v>0.0482845070700524</v>
      </c>
      <c r="X52" s="16" t="n">
        <f aca="false">PRODUCT(V52:W52)</f>
        <v>-3.93370700373828E-006</v>
      </c>
      <c r="Y52" s="58"/>
      <c r="Z52" s="58"/>
      <c r="AA52" s="58"/>
      <c r="AB52" s="43"/>
      <c r="AC52" s="58"/>
      <c r="AD52" s="43"/>
      <c r="AE52" s="43"/>
      <c r="AF52" s="43"/>
      <c r="AG52" s="43"/>
      <c r="AH52" s="43"/>
      <c r="AI52" s="43"/>
      <c r="AJ52" s="43"/>
    </row>
    <row r="53" customFormat="false" ht="15" hidden="false" customHeight="false" outlineLevel="0" collapsed="false">
      <c r="J53" s="54" t="n">
        <v>10</v>
      </c>
      <c r="K53" s="54" t="s">
        <v>2</v>
      </c>
      <c r="L53" s="54" t="s">
        <v>24</v>
      </c>
      <c r="M53" s="54" t="n">
        <f aca="false">F6</f>
        <v>0.353455367041583</v>
      </c>
      <c r="N53" s="55" t="n">
        <f aca="false">F15</f>
        <v>0.898150007826343</v>
      </c>
      <c r="O53" s="54" t="n">
        <f aca="false">N53-M53</f>
        <v>0.54469464078476</v>
      </c>
      <c r="T53" s="34"/>
      <c r="U53" s="35"/>
      <c r="V53" s="16" t="n">
        <v>-0.0174404074587571</v>
      </c>
      <c r="W53" s="16" t="n">
        <v>-0.0154548311049831</v>
      </c>
      <c r="X53" s="16" t="n">
        <f aca="false">PRODUCT(V53:W53)</f>
        <v>0.000269538551677179</v>
      </c>
      <c r="Y53" s="58"/>
      <c r="Z53" s="58"/>
      <c r="AA53" s="58"/>
      <c r="AB53" s="43"/>
      <c r="AC53" s="58"/>
      <c r="AD53" s="43"/>
      <c r="AE53" s="43"/>
      <c r="AF53" s="43"/>
      <c r="AG53" s="43"/>
      <c r="AH53" s="43"/>
      <c r="AI53" s="43"/>
      <c r="AJ53" s="43"/>
    </row>
    <row r="54" customFormat="false" ht="15" hidden="false" customHeight="false" outlineLevel="0" collapsed="false">
      <c r="J54" s="54" t="n">
        <v>11</v>
      </c>
      <c r="K54" s="55" t="s">
        <v>2</v>
      </c>
      <c r="L54" s="55" t="s">
        <v>25</v>
      </c>
      <c r="M54" s="55" t="n">
        <f aca="false">G6</f>
        <v>0.2388504501804</v>
      </c>
      <c r="N54" s="55" t="n">
        <f aca="false">G15</f>
        <v>0.791947698177241</v>
      </c>
      <c r="O54" s="54" t="n">
        <f aca="false">N54-M54</f>
        <v>0.553097247996841</v>
      </c>
      <c r="T54" s="34"/>
      <c r="U54" s="35"/>
      <c r="V54" s="16" t="n">
        <v>-0.00532570994132797</v>
      </c>
      <c r="W54" s="16" t="n">
        <v>0.00695980318127987</v>
      </c>
      <c r="X54" s="16" t="n">
        <f aca="false">PRODUCT(V54:W54)</f>
        <v>-3.70658929922282E-005</v>
      </c>
      <c r="Y54" s="58"/>
      <c r="Z54" s="58"/>
      <c r="AA54" s="58"/>
      <c r="AB54" s="43"/>
      <c r="AC54" s="58"/>
      <c r="AD54" s="43"/>
      <c r="AE54" s="43"/>
      <c r="AF54" s="43"/>
      <c r="AG54" s="43"/>
      <c r="AH54" s="43"/>
      <c r="AI54" s="43"/>
      <c r="AJ54" s="43"/>
    </row>
    <row r="55" customFormat="false" ht="15" hidden="false" customHeight="false" outlineLevel="0" collapsed="false">
      <c r="J55" s="54" t="n">
        <v>12</v>
      </c>
      <c r="K55" s="54" t="s">
        <v>0</v>
      </c>
      <c r="L55" s="54" t="s">
        <v>1</v>
      </c>
      <c r="M55" s="54" t="n">
        <f aca="false">D4</f>
        <v>0.289601069375887</v>
      </c>
      <c r="N55" s="55" t="n">
        <f aca="false">D13</f>
        <v>0.868429764365171</v>
      </c>
      <c r="O55" s="54" t="n">
        <f aca="false">N55-M55</f>
        <v>0.578828694989285</v>
      </c>
      <c r="T55" s="34"/>
      <c r="U55" s="35"/>
      <c r="V55" s="16" t="n">
        <v>-0.0531890480298163</v>
      </c>
      <c r="W55" s="16" t="n">
        <v>-0.00527876259449478</v>
      </c>
      <c r="X55" s="16" t="n">
        <f aca="false">PRODUCT(V55:W55)</f>
        <v>0.000280772357176581</v>
      </c>
      <c r="Y55" s="58"/>
      <c r="Z55" s="58"/>
      <c r="AA55" s="58"/>
      <c r="AB55" s="43"/>
      <c r="AC55" s="58"/>
      <c r="AD55" s="43"/>
      <c r="AE55" s="43"/>
      <c r="AF55" s="43"/>
      <c r="AG55" s="43"/>
      <c r="AH55" s="43"/>
      <c r="AI55" s="43"/>
      <c r="AJ55" s="43"/>
    </row>
    <row r="56" customFormat="false" ht="15" hidden="false" customHeight="false" outlineLevel="0" collapsed="false">
      <c r="J56" s="54" t="n">
        <v>13</v>
      </c>
      <c r="K56" s="54" t="s">
        <v>1</v>
      </c>
      <c r="L56" s="54" t="s">
        <v>25</v>
      </c>
      <c r="M56" s="54" t="n">
        <f aca="false">G5</f>
        <v>0.226855938610869</v>
      </c>
      <c r="N56" s="55" t="n">
        <f aca="false">G14</f>
        <v>0.812976253369536</v>
      </c>
      <c r="O56" s="54" t="n">
        <f aca="false">N56-M56</f>
        <v>0.586120314758668</v>
      </c>
      <c r="T56" s="34"/>
      <c r="U56" s="35"/>
      <c r="V56" s="16" t="n">
        <v>-0.0154974411647899</v>
      </c>
      <c r="W56" s="16" t="n">
        <v>-0.0398357218478322</v>
      </c>
      <c r="X56" s="16" t="n">
        <f aca="false">PRODUCT(V56:W56)</f>
        <v>0.000617351755593715</v>
      </c>
      <c r="Y56" s="58"/>
      <c r="Z56" s="58"/>
      <c r="AA56" s="58"/>
      <c r="AB56" s="43"/>
      <c r="AC56" s="58"/>
      <c r="AD56" s="43"/>
      <c r="AE56" s="43"/>
      <c r="AF56" s="43"/>
      <c r="AG56" s="43"/>
      <c r="AH56" s="43"/>
      <c r="AI56" s="43"/>
      <c r="AJ56" s="43"/>
    </row>
    <row r="57" customFormat="false" ht="15" hidden="false" customHeight="false" outlineLevel="0" collapsed="false">
      <c r="J57" s="54" t="n">
        <v>14</v>
      </c>
      <c r="K57" s="54" t="s">
        <v>0</v>
      </c>
      <c r="L57" s="54" t="s">
        <v>26</v>
      </c>
      <c r="M57" s="54" t="n">
        <f aca="false">H4</f>
        <v>0.206448774284328</v>
      </c>
      <c r="N57" s="55" t="n">
        <f aca="false">H13</f>
        <v>0.873163425660659</v>
      </c>
      <c r="O57" s="54" t="n">
        <f aca="false">N57-M57</f>
        <v>0.666714651376331</v>
      </c>
      <c r="T57" s="34"/>
      <c r="U57" s="35"/>
      <c r="V57" s="16" t="n">
        <v>-0.00503625509816352</v>
      </c>
      <c r="W57" s="16" t="n">
        <v>0.0265265483567836</v>
      </c>
      <c r="X57" s="16" t="n">
        <f aca="false">PRODUCT(V57:W57)</f>
        <v>-0.000133594464398533</v>
      </c>
      <c r="Y57" s="58"/>
      <c r="Z57" s="58"/>
      <c r="AA57" s="58"/>
      <c r="AB57" s="43"/>
      <c r="AC57" s="58"/>
      <c r="AD57" s="43"/>
      <c r="AE57" s="43"/>
      <c r="AF57" s="43"/>
      <c r="AG57" s="43"/>
      <c r="AH57" s="43"/>
      <c r="AI57" s="43"/>
      <c r="AJ57" s="43"/>
    </row>
    <row r="58" customFormat="false" ht="15" hidden="false" customHeight="false" outlineLevel="0" collapsed="false">
      <c r="J58" s="54" t="n">
        <v>15</v>
      </c>
      <c r="K58" s="54" t="s">
        <v>1</v>
      </c>
      <c r="L58" s="54" t="s">
        <v>26</v>
      </c>
      <c r="M58" s="54" t="n">
        <f aca="false">H5</f>
        <v>0.0610828771384807</v>
      </c>
      <c r="N58" s="55" t="n">
        <f aca="false">H14</f>
        <v>0.876838376569595</v>
      </c>
      <c r="O58" s="54" t="n">
        <f aca="false">N58-M58</f>
        <v>0.815755499431115</v>
      </c>
      <c r="T58" s="34"/>
      <c r="U58" s="35"/>
      <c r="V58" s="16" t="n">
        <v>-0.00466391940598321</v>
      </c>
      <c r="W58" s="16" t="n">
        <v>0.00336575555414598</v>
      </c>
      <c r="X58" s="16" t="n">
        <f aca="false">PRODUCT(V58:W58)</f>
        <v>-1.56976126447772E-005</v>
      </c>
      <c r="Y58" s="58"/>
      <c r="Z58" s="58"/>
      <c r="AA58" s="58"/>
      <c r="AB58" s="43"/>
      <c r="AC58" s="58"/>
      <c r="AD58" s="43"/>
      <c r="AE58" s="43"/>
      <c r="AF58" s="43"/>
      <c r="AG58" s="43"/>
      <c r="AH58" s="43"/>
      <c r="AI58" s="43"/>
      <c r="AJ58" s="43"/>
    </row>
    <row r="59" customFormat="false" ht="15" hidden="false" customHeight="false" outlineLevel="0" collapsed="false">
      <c r="T59" s="34"/>
      <c r="U59" s="35"/>
      <c r="V59" s="16" t="n">
        <v>0.0131621225360554</v>
      </c>
      <c r="W59" s="16" t="n">
        <v>-0.0160060600042264</v>
      </c>
      <c r="X59" s="16" t="n">
        <f aca="false">PRODUCT(V59:W59)</f>
        <v>-0.000210673723095083</v>
      </c>
      <c r="Y59" s="58"/>
      <c r="Z59" s="58"/>
      <c r="AA59" s="58"/>
      <c r="AB59" s="43"/>
      <c r="AC59" s="58"/>
      <c r="AD59" s="43"/>
      <c r="AE59" s="43"/>
      <c r="AF59" s="43"/>
      <c r="AG59" s="43"/>
      <c r="AH59" s="43"/>
      <c r="AI59" s="43"/>
      <c r="AJ59" s="43"/>
    </row>
    <row r="60" customFormat="false" ht="15" hidden="false" customHeight="false" outlineLevel="0" collapsed="false">
      <c r="T60" s="34"/>
      <c r="U60" s="35"/>
      <c r="V60" s="16" t="n">
        <v>0.00323106111335392</v>
      </c>
      <c r="W60" s="16" t="n">
        <v>0.0156459847118668</v>
      </c>
      <c r="X60" s="16" t="n">
        <f aca="false">PRODUCT(V60:W60)</f>
        <v>5.05531327826428E-005</v>
      </c>
      <c r="Y60" s="58"/>
      <c r="Z60" s="58"/>
      <c r="AA60" s="58"/>
      <c r="AB60" s="43"/>
      <c r="AC60" s="58"/>
      <c r="AD60" s="43"/>
      <c r="AE60" s="43"/>
      <c r="AF60" s="43"/>
      <c r="AG60" s="43"/>
      <c r="AH60" s="43"/>
      <c r="AI60" s="43"/>
      <c r="AJ60" s="43"/>
    </row>
    <row r="61" customFormat="false" ht="15" hidden="false" customHeight="false" outlineLevel="0" collapsed="false">
      <c r="T61" s="34"/>
      <c r="U61" s="35"/>
      <c r="V61" s="16" t="n">
        <v>-0.0194594104873342</v>
      </c>
      <c r="W61" s="16" t="n">
        <v>-0.0254434591703268</v>
      </c>
      <c r="X61" s="16" t="n">
        <f aca="false">PRODUCT(V61:W61)</f>
        <v>0.000495114716213117</v>
      </c>
      <c r="Y61" s="58"/>
      <c r="Z61" s="58"/>
      <c r="AA61" s="58"/>
      <c r="AB61" s="43"/>
      <c r="AC61" s="58"/>
      <c r="AD61" s="43"/>
      <c r="AE61" s="43"/>
      <c r="AF61" s="43"/>
      <c r="AG61" s="43"/>
      <c r="AH61" s="43"/>
      <c r="AI61" s="43"/>
      <c r="AJ61" s="43"/>
    </row>
    <row r="62" customFormat="false" ht="15" hidden="false" customHeight="false" outlineLevel="0" collapsed="false">
      <c r="T62" s="34"/>
      <c r="U62" s="35"/>
      <c r="V62" s="16" t="n">
        <v>0.0205758909575238</v>
      </c>
      <c r="W62" s="16" t="n">
        <v>0.00945376707201984</v>
      </c>
      <c r="X62" s="16" t="n">
        <f aca="false">PRODUCT(V62:W62)</f>
        <v>0.000194519680411709</v>
      </c>
      <c r="Y62" s="58"/>
      <c r="Z62" s="58"/>
      <c r="AA62" s="58"/>
      <c r="AB62" s="43"/>
      <c r="AC62" s="58"/>
      <c r="AD62" s="43"/>
      <c r="AE62" s="43"/>
      <c r="AF62" s="43"/>
      <c r="AG62" s="43"/>
      <c r="AH62" s="43"/>
      <c r="AI62" s="43"/>
      <c r="AJ62" s="43"/>
    </row>
    <row r="63" customFormat="false" ht="15" hidden="false" customHeight="false" outlineLevel="0" collapsed="false">
      <c r="T63" s="34"/>
      <c r="U63" s="35"/>
      <c r="V63" s="16" t="n">
        <v>-0.0142882700912885</v>
      </c>
      <c r="W63" s="16" t="n">
        <v>0.00113046333323208</v>
      </c>
      <c r="X63" s="16" t="n">
        <f aca="false">PRODUCT(V63:W63)</f>
        <v>-1.61523654335182E-005</v>
      </c>
      <c r="Y63" s="58"/>
      <c r="Z63" s="58"/>
      <c r="AA63" s="58"/>
      <c r="AB63" s="43"/>
      <c r="AC63" s="58"/>
      <c r="AD63" s="43"/>
      <c r="AE63" s="43"/>
      <c r="AF63" s="43"/>
      <c r="AG63" s="43"/>
      <c r="AH63" s="43"/>
      <c r="AI63" s="43"/>
      <c r="AJ63" s="43"/>
    </row>
    <row r="64" customFormat="false" ht="15" hidden="false" customHeight="false" outlineLevel="0" collapsed="false">
      <c r="T64" s="34"/>
      <c r="U64" s="35"/>
      <c r="V64" s="16" t="n">
        <v>0.0291843404542576</v>
      </c>
      <c r="W64" s="16" t="n">
        <v>0.0085917435067806</v>
      </c>
      <c r="X64" s="16" t="n">
        <f aca="false">PRODUCT(V64:W64)</f>
        <v>0.000250744367597542</v>
      </c>
      <c r="Y64" s="58"/>
      <c r="Z64" s="58"/>
      <c r="AA64" s="58"/>
      <c r="AB64" s="43"/>
      <c r="AC64" s="58"/>
      <c r="AD64" s="43"/>
      <c r="AE64" s="43"/>
      <c r="AF64" s="43"/>
      <c r="AG64" s="43"/>
      <c r="AH64" s="43"/>
      <c r="AI64" s="43"/>
      <c r="AJ64" s="43"/>
    </row>
    <row r="65" customFormat="false" ht="15" hidden="false" customHeight="false" outlineLevel="0" collapsed="false">
      <c r="T65" s="34"/>
      <c r="U65" s="35"/>
      <c r="V65" s="16" t="n">
        <v>0.0114531647313392</v>
      </c>
      <c r="W65" s="16" t="n">
        <v>0.0109709681855401</v>
      </c>
      <c r="X65" s="16" t="n">
        <f aca="false">PRODUCT(V65:W65)</f>
        <v>0.000125652305891272</v>
      </c>
      <c r="Y65" s="58"/>
      <c r="Z65" s="58"/>
      <c r="AA65" s="58"/>
      <c r="AB65" s="43"/>
      <c r="AC65" s="58"/>
      <c r="AD65" s="43"/>
      <c r="AE65" s="43"/>
      <c r="AF65" s="43"/>
      <c r="AG65" s="43"/>
      <c r="AH65" s="43"/>
      <c r="AI65" s="43"/>
      <c r="AJ65" s="43"/>
    </row>
    <row r="66" customFormat="false" ht="15" hidden="false" customHeight="false" outlineLevel="0" collapsed="false">
      <c r="T66" s="34"/>
      <c r="U66" s="35"/>
      <c r="V66" s="16" t="n">
        <v>-0.00262718373829607</v>
      </c>
      <c r="W66" s="16" t="n">
        <v>0.0191127508116731</v>
      </c>
      <c r="X66" s="16" t="n">
        <f aca="false">PRODUCT(V66:W66)</f>
        <v>-5.02127081265326E-005</v>
      </c>
      <c r="Y66" s="58"/>
      <c r="Z66" s="58"/>
      <c r="AA66" s="58"/>
      <c r="AB66" s="43"/>
      <c r="AC66" s="58"/>
      <c r="AD66" s="43"/>
      <c r="AE66" s="43"/>
      <c r="AF66" s="43"/>
      <c r="AG66" s="43"/>
      <c r="AH66" s="43"/>
      <c r="AI66" s="43"/>
      <c r="AJ66" s="43"/>
    </row>
    <row r="67" customFormat="false" ht="15" hidden="false" customHeight="false" outlineLevel="0" collapsed="false">
      <c r="T67" s="34"/>
      <c r="U67" s="35"/>
      <c r="V67" s="16" t="n">
        <v>0.00143909419481503</v>
      </c>
      <c r="W67" s="16" t="n">
        <v>0.0219286346064775</v>
      </c>
      <c r="X67" s="16" t="n">
        <f aca="false">PRODUCT(V67:W67)</f>
        <v>3.15573707624017E-005</v>
      </c>
      <c r="Y67" s="58"/>
      <c r="Z67" s="58"/>
      <c r="AA67" s="58"/>
      <c r="AB67" s="43"/>
      <c r="AC67" s="58"/>
      <c r="AD67" s="43"/>
      <c r="AE67" s="43"/>
      <c r="AF67" s="43"/>
      <c r="AG67" s="43"/>
      <c r="AH67" s="43"/>
      <c r="AI67" s="43"/>
      <c r="AJ67" s="43"/>
    </row>
    <row r="68" customFormat="false" ht="15" hidden="false" customHeight="false" outlineLevel="0" collapsed="false">
      <c r="T68" s="34"/>
      <c r="U68" s="35"/>
      <c r="V68" s="16" t="n">
        <v>-0.000335579478415227</v>
      </c>
      <c r="W68" s="16" t="n">
        <v>0.0146698101838458</v>
      </c>
      <c r="X68" s="16" t="n">
        <f aca="false">PRODUCT(V68:W68)</f>
        <v>-4.92288724994536E-006</v>
      </c>
      <c r="Y68" s="58"/>
      <c r="Z68" s="58"/>
      <c r="AA68" s="58"/>
      <c r="AB68" s="43"/>
      <c r="AC68" s="58"/>
      <c r="AD68" s="43"/>
      <c r="AE68" s="43"/>
      <c r="AF68" s="43"/>
      <c r="AG68" s="43"/>
      <c r="AH68" s="43"/>
      <c r="AI68" s="43"/>
      <c r="AJ68" s="43"/>
    </row>
    <row r="69" customFormat="false" ht="15" hidden="false" customHeight="false" outlineLevel="0" collapsed="false">
      <c r="T69" s="34"/>
      <c r="U69" s="35"/>
      <c r="V69" s="16" t="n">
        <v>-0.0123151871599116</v>
      </c>
      <c r="W69" s="16" t="n">
        <v>-0.013393519068357</v>
      </c>
      <c r="X69" s="16" t="n">
        <f aca="false">PRODUCT(V69:W69)</f>
        <v>0.000164943694056661</v>
      </c>
      <c r="Y69" s="58"/>
      <c r="Z69" s="58"/>
      <c r="AA69" s="58"/>
      <c r="AB69" s="43"/>
      <c r="AC69" s="58"/>
      <c r="AD69" s="43"/>
      <c r="AE69" s="43"/>
      <c r="AF69" s="43"/>
      <c r="AG69" s="43"/>
      <c r="AH69" s="43"/>
      <c r="AI69" s="43"/>
      <c r="AJ69" s="43"/>
    </row>
    <row r="70" customFormat="false" ht="15" hidden="false" customHeight="false" outlineLevel="0" collapsed="false">
      <c r="T70" s="34"/>
      <c r="U70" s="35"/>
      <c r="V70" s="16" t="n">
        <v>-0.0212492147440653</v>
      </c>
      <c r="W70" s="16" t="n">
        <v>-0.0246232446655386</v>
      </c>
      <c r="X70" s="16" t="n">
        <f aca="false">PRODUCT(V70:W70)</f>
        <v>0.00052322461359369</v>
      </c>
      <c r="Y70" s="58"/>
      <c r="Z70" s="58"/>
      <c r="AA70" s="58"/>
      <c r="AB70" s="43"/>
      <c r="AC70" s="58"/>
      <c r="AD70" s="43"/>
      <c r="AE70" s="43"/>
      <c r="AF70" s="43"/>
      <c r="AG70" s="43"/>
      <c r="AH70" s="43"/>
      <c r="AI70" s="43"/>
      <c r="AJ70" s="43"/>
    </row>
    <row r="71" customFormat="false" ht="15" hidden="false" customHeight="false" outlineLevel="0" collapsed="false">
      <c r="T71" s="34"/>
      <c r="U71" s="35"/>
      <c r="V71" s="16" t="n">
        <v>0.0025703446619616</v>
      </c>
      <c r="W71" s="16" t="n">
        <v>-0.0174011974359338</v>
      </c>
      <c r="X71" s="16" t="n">
        <f aca="false">PRODUCT(V71:W71)</f>
        <v>-4.47270749411923E-005</v>
      </c>
      <c r="Y71" s="58"/>
      <c r="Z71" s="58"/>
      <c r="AA71" s="58"/>
      <c r="AB71" s="43"/>
      <c r="AC71" s="58"/>
      <c r="AD71" s="43"/>
      <c r="AE71" s="43"/>
      <c r="AF71" s="43"/>
      <c r="AG71" s="43"/>
      <c r="AH71" s="43"/>
      <c r="AI71" s="43"/>
      <c r="AJ71" s="43"/>
    </row>
    <row r="72" customFormat="false" ht="15" hidden="false" customHeight="false" outlineLevel="0" collapsed="false">
      <c r="T72" s="34"/>
      <c r="U72" s="35"/>
      <c r="V72" s="13" t="n">
        <f aca="false" t="array" ref="V72:V97">'Data Gathering and ect'!F32:F57</f>
        <v>0.013822271570092</v>
      </c>
      <c r="W72" s="13" t="n">
        <f aca="false" t="array" ref="W72:W97">'Data Gathering and ect'!F222:F247</f>
        <v>0.0176572834822446</v>
      </c>
      <c r="X72" s="13" t="n">
        <f aca="false">PRODUCT(V72:W72)</f>
        <v>0.000244063767481685</v>
      </c>
      <c r="Y72" s="56" t="n">
        <f aca="false">SUM(V72:V97)</f>
        <v>-0.372564463964317</v>
      </c>
      <c r="Z72" s="56" t="n">
        <f aca="false">+SUM(W72:W97)</f>
        <v>-0.44826742573188</v>
      </c>
      <c r="AA72" s="56" t="n">
        <f aca="false">SUM(X72:X97)</f>
        <v>0.085487162168328</v>
      </c>
      <c r="AB72" s="56" t="n">
        <f aca="false">Y72*Z72</f>
        <v>0.167008513180462</v>
      </c>
      <c r="AC72" s="57" t="n">
        <f aca="false">COUNT(V72:V97)</f>
        <v>26</v>
      </c>
      <c r="AD72" s="56" t="n">
        <f aca="false" t="array" ref="AD72:AD72">SUM(POWER(V72:V97,2))</f>
        <v>0.124264859766193</v>
      </c>
      <c r="AE72" s="56" t="n">
        <f aca="false" t="array" ref="AE72:AE72">SUM(POWER(W72:W97,2))</f>
        <v>0.0815875416697642</v>
      </c>
      <c r="AF72" s="56" t="n">
        <f aca="false">(AA72*AC72)-(AB72)</f>
        <v>2.05565770319607</v>
      </c>
      <c r="AG72" s="56" t="n">
        <f aca="false">(AC72*AD72)-(POWER(Y72,2))</f>
        <v>3.092082074112</v>
      </c>
      <c r="AH72" s="56" t="n">
        <f aca="false">(AC72*AE72)-(POWER(Z72,2))</f>
        <v>1.92033239844158</v>
      </c>
      <c r="AI72" s="56" t="n">
        <f aca="false">SQRT(AG72*AH72)</f>
        <v>2.43676535299518</v>
      </c>
      <c r="AJ72" s="56" t="n">
        <f aca="false">AF72 / AI72</f>
        <v>0.843601006009597</v>
      </c>
    </row>
    <row r="73" customFormat="false" ht="15" hidden="false" customHeight="false" outlineLevel="0" collapsed="false">
      <c r="T73" s="34"/>
      <c r="U73" s="35"/>
      <c r="V73" s="13" t="n">
        <v>0.0226829217835256</v>
      </c>
      <c r="W73" s="13" t="n">
        <v>0.0151202791694018</v>
      </c>
      <c r="X73" s="13" t="n">
        <f aca="false">PRODUCT(V73:W73)</f>
        <v>0.000342972109744612</v>
      </c>
      <c r="Y73" s="56"/>
      <c r="Z73" s="56"/>
      <c r="AA73" s="56"/>
      <c r="AB73" s="56"/>
      <c r="AC73" s="57"/>
      <c r="AD73" s="56"/>
      <c r="AE73" s="56"/>
      <c r="AF73" s="56"/>
      <c r="AG73" s="56"/>
      <c r="AH73" s="56"/>
      <c r="AI73" s="56"/>
      <c r="AJ73" s="56"/>
    </row>
    <row r="74" customFormat="false" ht="15" hidden="false" customHeight="false" outlineLevel="0" collapsed="false">
      <c r="T74" s="34"/>
      <c r="U74" s="35"/>
      <c r="V74" s="13" t="n">
        <v>-0.0130559318290064</v>
      </c>
      <c r="W74" s="13" t="n">
        <v>-0.0320394270617079</v>
      </c>
      <c r="X74" s="13" t="n">
        <f aca="false">PRODUCT(V74:W74)</f>
        <v>0.000418304575558081</v>
      </c>
      <c r="Y74" s="56"/>
      <c r="Z74" s="56"/>
      <c r="AA74" s="56"/>
      <c r="AB74" s="56"/>
      <c r="AC74" s="57"/>
      <c r="AD74" s="56"/>
      <c r="AE74" s="56"/>
      <c r="AF74" s="56"/>
      <c r="AG74" s="56"/>
      <c r="AH74" s="56"/>
      <c r="AI74" s="56"/>
      <c r="AJ74" s="56"/>
    </row>
    <row r="75" customFormat="false" ht="15" hidden="false" customHeight="false" outlineLevel="0" collapsed="false">
      <c r="T75" s="34"/>
      <c r="U75" s="35"/>
      <c r="V75" s="13" t="n">
        <v>0.00361222761554281</v>
      </c>
      <c r="W75" s="13" t="n">
        <v>0.0110554404973255</v>
      </c>
      <c r="X75" s="13" t="n">
        <f aca="false">PRODUCT(V75:W75)</f>
        <v>3.99347674664295E-005</v>
      </c>
      <c r="Y75" s="56"/>
      <c r="Z75" s="56"/>
      <c r="AA75" s="56"/>
      <c r="AB75" s="56"/>
      <c r="AC75" s="57"/>
      <c r="AD75" s="56"/>
      <c r="AE75" s="56"/>
      <c r="AF75" s="56"/>
      <c r="AG75" s="56"/>
      <c r="AH75" s="56"/>
      <c r="AI75" s="56"/>
      <c r="AJ75" s="56"/>
    </row>
    <row r="76" customFormat="false" ht="15" hidden="false" customHeight="false" outlineLevel="0" collapsed="false">
      <c r="T76" s="34"/>
      <c r="U76" s="35"/>
      <c r="V76" s="13" t="n">
        <v>0.00459882254854982</v>
      </c>
      <c r="W76" s="13" t="n">
        <v>-0.0103395354434825</v>
      </c>
      <c r="X76" s="13" t="n">
        <f aca="false">PRODUCT(V76:W76)</f>
        <v>-4.75496887390174E-005</v>
      </c>
      <c r="Y76" s="56"/>
      <c r="Z76" s="56"/>
      <c r="AA76" s="56"/>
      <c r="AB76" s="56"/>
      <c r="AC76" s="57"/>
      <c r="AD76" s="56"/>
      <c r="AE76" s="56"/>
      <c r="AF76" s="56"/>
      <c r="AG76" s="56"/>
      <c r="AH76" s="56"/>
      <c r="AI76" s="56"/>
      <c r="AJ76" s="56"/>
    </row>
    <row r="77" customFormat="false" ht="15" hidden="false" customHeight="false" outlineLevel="0" collapsed="false">
      <c r="T77" s="34"/>
      <c r="U77" s="35"/>
      <c r="V77" s="13" t="n">
        <v>-0.0148035597914546</v>
      </c>
      <c r="W77" s="13" t="n">
        <v>-0.00923753845455</v>
      </c>
      <c r="X77" s="13" t="n">
        <f aca="false">PRODUCT(V77:W77)</f>
        <v>0.000136748452837792</v>
      </c>
      <c r="Y77" s="56"/>
      <c r="Z77" s="56"/>
      <c r="AA77" s="56"/>
      <c r="AB77" s="56"/>
      <c r="AC77" s="57"/>
      <c r="AD77" s="56"/>
      <c r="AE77" s="56"/>
      <c r="AF77" s="56"/>
      <c r="AG77" s="56"/>
      <c r="AH77" s="56"/>
      <c r="AI77" s="56"/>
      <c r="AJ77" s="56"/>
    </row>
    <row r="78" customFormat="false" ht="15" hidden="false" customHeight="false" outlineLevel="0" collapsed="false">
      <c r="T78" s="34"/>
      <c r="U78" s="35"/>
      <c r="V78" s="13" t="n">
        <v>-0.0187925693350444</v>
      </c>
      <c r="W78" s="13" t="n">
        <v>0.0105541158690246</v>
      </c>
      <c r="X78" s="13" t="n">
        <f aca="false">PRODUCT(V78:W78)</f>
        <v>-0.000198338954238737</v>
      </c>
      <c r="Y78" s="56"/>
      <c r="Z78" s="56"/>
      <c r="AA78" s="56"/>
      <c r="AB78" s="56"/>
      <c r="AC78" s="57"/>
      <c r="AD78" s="56"/>
      <c r="AE78" s="56"/>
      <c r="AF78" s="56"/>
      <c r="AG78" s="56"/>
      <c r="AH78" s="56"/>
      <c r="AI78" s="56"/>
      <c r="AJ78" s="56"/>
    </row>
    <row r="79" customFormat="false" ht="15" hidden="false" customHeight="false" outlineLevel="0" collapsed="false">
      <c r="T79" s="34"/>
      <c r="U79" s="35"/>
      <c r="V79" s="13" t="n">
        <v>-0.0183698540485633</v>
      </c>
      <c r="W79" s="13" t="n">
        <v>-0.0199827280870473</v>
      </c>
      <c r="X79" s="13" t="n">
        <f aca="false">PRODUCT(V79:W79)</f>
        <v>0.000367079798451185</v>
      </c>
      <c r="Y79" s="56"/>
      <c r="Z79" s="56"/>
      <c r="AA79" s="56"/>
      <c r="AB79" s="56"/>
      <c r="AC79" s="57"/>
      <c r="AD79" s="56"/>
      <c r="AE79" s="56"/>
      <c r="AF79" s="56"/>
      <c r="AG79" s="56"/>
      <c r="AH79" s="56"/>
      <c r="AI79" s="56"/>
      <c r="AJ79" s="56"/>
    </row>
    <row r="80" customFormat="false" ht="15" hidden="false" customHeight="false" outlineLevel="0" collapsed="false">
      <c r="T80" s="34"/>
      <c r="U80" s="35"/>
      <c r="V80" s="13" t="n">
        <v>-0.0316855497869959</v>
      </c>
      <c r="W80" s="13" t="n">
        <v>-0.0483447743265382</v>
      </c>
      <c r="X80" s="13" t="n">
        <f aca="false">PRODUCT(V80:W80)</f>
        <v>0.00153183075386461</v>
      </c>
      <c r="Y80" s="56"/>
      <c r="Z80" s="56"/>
      <c r="AA80" s="56"/>
      <c r="AB80" s="56"/>
      <c r="AC80" s="57"/>
      <c r="AD80" s="56"/>
      <c r="AE80" s="56"/>
      <c r="AF80" s="56"/>
      <c r="AG80" s="56"/>
      <c r="AH80" s="56"/>
      <c r="AI80" s="56"/>
      <c r="AJ80" s="56"/>
    </row>
    <row r="81" customFormat="false" ht="15" hidden="false" customHeight="false" outlineLevel="0" collapsed="false">
      <c r="T81" s="34"/>
      <c r="U81" s="35"/>
      <c r="V81" s="13" t="n">
        <v>0.0503081111498069</v>
      </c>
      <c r="W81" s="13" t="n">
        <v>0.037637903122504</v>
      </c>
      <c r="X81" s="13" t="n">
        <f aca="false">PRODUCT(V81:W81)</f>
        <v>0.0018934918137326</v>
      </c>
      <c r="Y81" s="56"/>
      <c r="Z81" s="56"/>
      <c r="AA81" s="56"/>
      <c r="AB81" s="56"/>
      <c r="AC81" s="57"/>
      <c r="AD81" s="56"/>
      <c r="AE81" s="56"/>
      <c r="AF81" s="56"/>
      <c r="AG81" s="56"/>
      <c r="AH81" s="56"/>
      <c r="AI81" s="56"/>
      <c r="AJ81" s="56"/>
    </row>
    <row r="82" customFormat="false" ht="15" hidden="false" customHeight="false" outlineLevel="0" collapsed="false">
      <c r="T82" s="34"/>
      <c r="U82" s="35"/>
      <c r="V82" s="13" t="n">
        <v>-0.0271564689414774</v>
      </c>
      <c r="W82" s="13" t="n">
        <v>-0.0295428902699211</v>
      </c>
      <c r="X82" s="13" t="n">
        <f aca="false">PRODUCT(V82:W82)</f>
        <v>0.000802280582056587</v>
      </c>
      <c r="Y82" s="56"/>
      <c r="Z82" s="56"/>
      <c r="AA82" s="56"/>
      <c r="AB82" s="56"/>
      <c r="AC82" s="57"/>
      <c r="AD82" s="56"/>
      <c r="AE82" s="56"/>
      <c r="AF82" s="56"/>
      <c r="AG82" s="56"/>
      <c r="AH82" s="56"/>
      <c r="AI82" s="56"/>
      <c r="AJ82" s="56"/>
    </row>
    <row r="83" customFormat="false" ht="15" hidden="false" customHeight="false" outlineLevel="0" collapsed="false">
      <c r="T83" s="34"/>
      <c r="U83" s="35"/>
      <c r="V83" s="13" t="n">
        <v>0.00408975097046316</v>
      </c>
      <c r="W83" s="13" t="n">
        <v>-1.72519386865133E-005</v>
      </c>
      <c r="X83" s="13" t="n">
        <f aca="false">PRODUCT(V83:W83)</f>
        <v>-7.05561329855387E-008</v>
      </c>
      <c r="Y83" s="56"/>
      <c r="Z83" s="56"/>
      <c r="AA83" s="56"/>
      <c r="AB83" s="56"/>
      <c r="AC83" s="57"/>
      <c r="AD83" s="56"/>
      <c r="AE83" s="56"/>
      <c r="AF83" s="56"/>
      <c r="AG83" s="56"/>
      <c r="AH83" s="56"/>
      <c r="AI83" s="56"/>
      <c r="AJ83" s="56"/>
    </row>
    <row r="84" customFormat="false" ht="15" hidden="false" customHeight="false" outlineLevel="0" collapsed="false">
      <c r="T84" s="34"/>
      <c r="U84" s="35"/>
      <c r="V84" s="13" t="n">
        <v>-0.0822773106161368</v>
      </c>
      <c r="W84" s="13" t="n">
        <v>-0.079523842008574</v>
      </c>
      <c r="X84" s="13" t="n">
        <f aca="false">PRODUCT(V84:W84)</f>
        <v>0.00654300785032803</v>
      </c>
      <c r="Y84" s="56"/>
      <c r="Z84" s="56"/>
      <c r="AA84" s="56"/>
      <c r="AB84" s="56"/>
      <c r="AC84" s="57"/>
      <c r="AD84" s="56"/>
      <c r="AE84" s="56"/>
      <c r="AF84" s="56"/>
      <c r="AG84" s="56"/>
      <c r="AH84" s="56"/>
      <c r="AI84" s="56"/>
      <c r="AJ84" s="56"/>
    </row>
    <row r="85" customFormat="false" ht="15" hidden="false" customHeight="false" outlineLevel="0" collapsed="false">
      <c r="T85" s="34"/>
      <c r="U85" s="35"/>
      <c r="V85" s="13" t="n">
        <v>0.0141270036848233</v>
      </c>
      <c r="W85" s="13" t="n">
        <v>-0.0060957899347045</v>
      </c>
      <c r="X85" s="13" t="n">
        <f aca="false">PRODUCT(V85:W85)</f>
        <v>-8.61152468694793E-005</v>
      </c>
      <c r="Y85" s="56"/>
      <c r="Z85" s="56"/>
      <c r="AA85" s="56"/>
      <c r="AB85" s="56"/>
      <c r="AC85" s="57"/>
      <c r="AD85" s="56"/>
      <c r="AE85" s="56"/>
      <c r="AF85" s="56"/>
      <c r="AG85" s="56"/>
      <c r="AH85" s="56"/>
      <c r="AI85" s="56"/>
      <c r="AJ85" s="56"/>
    </row>
    <row r="86" customFormat="false" ht="15" hidden="false" customHeight="false" outlineLevel="0" collapsed="false">
      <c r="T86" s="34"/>
      <c r="U86" s="35"/>
      <c r="V86" s="13" t="n">
        <v>-0.210501566281677</v>
      </c>
      <c r="W86" s="13" t="n">
        <v>-0.12004874547498</v>
      </c>
      <c r="X86" s="13" t="n">
        <f aca="false">PRODUCT(V86:W86)</f>
        <v>0.0252704489526337</v>
      </c>
      <c r="Y86" s="56"/>
      <c r="Z86" s="56"/>
      <c r="AA86" s="56"/>
      <c r="AB86" s="56"/>
      <c r="AC86" s="57"/>
      <c r="AD86" s="56"/>
      <c r="AE86" s="56"/>
      <c r="AF86" s="56"/>
      <c r="AG86" s="56"/>
      <c r="AH86" s="56"/>
      <c r="AI86" s="56"/>
      <c r="AJ86" s="56"/>
    </row>
    <row r="87" customFormat="false" ht="15" hidden="false" customHeight="false" outlineLevel="0" collapsed="false">
      <c r="T87" s="34"/>
      <c r="U87" s="35"/>
      <c r="V87" s="13" t="n">
        <v>-0.190191858595584</v>
      </c>
      <c r="W87" s="13" t="n">
        <v>-0.195999862630521</v>
      </c>
      <c r="X87" s="13" t="n">
        <f aca="false">PRODUCT(V87:W87)</f>
        <v>0.0372775781581779</v>
      </c>
      <c r="Y87" s="56"/>
      <c r="Z87" s="56"/>
      <c r="AA87" s="56"/>
      <c r="AB87" s="56"/>
      <c r="AC87" s="57"/>
      <c r="AD87" s="56"/>
      <c r="AE87" s="56"/>
      <c r="AF87" s="56"/>
      <c r="AG87" s="56"/>
      <c r="AH87" s="56"/>
      <c r="AI87" s="56"/>
      <c r="AJ87" s="56"/>
    </row>
    <row r="88" customFormat="false" ht="15" hidden="false" customHeight="false" outlineLevel="0" collapsed="false">
      <c r="T88" s="34"/>
      <c r="U88" s="35"/>
      <c r="V88" s="13" t="n">
        <v>0.119322626148417</v>
      </c>
      <c r="W88" s="13" t="n">
        <v>0.0450228706798628</v>
      </c>
      <c r="X88" s="13" t="n">
        <f aca="false">PRODUCT(V88:W88)</f>
        <v>0.00537224716626179</v>
      </c>
      <c r="Y88" s="56"/>
      <c r="Z88" s="56"/>
      <c r="AA88" s="56"/>
      <c r="AB88" s="56"/>
      <c r="AC88" s="57"/>
      <c r="AD88" s="56"/>
      <c r="AE88" s="56"/>
      <c r="AF88" s="56"/>
      <c r="AG88" s="56"/>
      <c r="AH88" s="56"/>
      <c r="AI88" s="56"/>
      <c r="AJ88" s="56"/>
    </row>
    <row r="89" customFormat="false" ht="15" hidden="false" customHeight="false" outlineLevel="0" collapsed="false">
      <c r="T89" s="34"/>
      <c r="U89" s="35"/>
      <c r="V89" s="13" t="n">
        <v>0.0153464645675871</v>
      </c>
      <c r="W89" s="13" t="n">
        <v>-0.0279061531087432</v>
      </c>
      <c r="X89" s="13" t="n">
        <f aca="false">PRODUCT(V89:W89)</f>
        <v>-0.000428260789900988</v>
      </c>
      <c r="Y89" s="56"/>
      <c r="Z89" s="56"/>
      <c r="AA89" s="56"/>
      <c r="AB89" s="56"/>
      <c r="AC89" s="57"/>
      <c r="AD89" s="56"/>
      <c r="AE89" s="56"/>
      <c r="AF89" s="56"/>
      <c r="AG89" s="56"/>
      <c r="AH89" s="56"/>
      <c r="AI89" s="56"/>
      <c r="AJ89" s="56"/>
    </row>
    <row r="90" customFormat="false" ht="15" hidden="false" customHeight="false" outlineLevel="0" collapsed="false">
      <c r="T90" s="34"/>
      <c r="U90" s="35"/>
      <c r="V90" s="13" t="n">
        <v>0.00502953806093398</v>
      </c>
      <c r="W90" s="13" t="n">
        <v>-0.0225625187302567</v>
      </c>
      <c r="X90" s="13" t="n">
        <f aca="false">PRODUCT(V90:W90)</f>
        <v>-0.000113479046704362</v>
      </c>
      <c r="Y90" s="56"/>
      <c r="Z90" s="56"/>
      <c r="AA90" s="56"/>
      <c r="AB90" s="56"/>
      <c r="AC90" s="57"/>
      <c r="AD90" s="56"/>
      <c r="AE90" s="56"/>
      <c r="AF90" s="56"/>
      <c r="AG90" s="56"/>
      <c r="AH90" s="56"/>
      <c r="AI90" s="56"/>
      <c r="AJ90" s="56"/>
    </row>
    <row r="91" customFormat="false" ht="15" hidden="false" customHeight="false" outlineLevel="0" collapsed="false">
      <c r="T91" s="34"/>
      <c r="U91" s="35"/>
      <c r="V91" s="13" t="n">
        <v>0.0431946019263032</v>
      </c>
      <c r="W91" s="13" t="n">
        <v>0.0655036064994601</v>
      </c>
      <c r="X91" s="13" t="n">
        <f aca="false">PRODUCT(V91:W91)</f>
        <v>0.00282940220748139</v>
      </c>
      <c r="Y91" s="56"/>
      <c r="Z91" s="56"/>
      <c r="AA91" s="56"/>
      <c r="AB91" s="56"/>
      <c r="AC91" s="57"/>
      <c r="AD91" s="56"/>
      <c r="AE91" s="56"/>
      <c r="AF91" s="56"/>
      <c r="AG91" s="56"/>
      <c r="AH91" s="56"/>
      <c r="AI91" s="56"/>
      <c r="AJ91" s="56"/>
    </row>
    <row r="92" customFormat="false" ht="15" hidden="false" customHeight="false" outlineLevel="0" collapsed="false">
      <c r="T92" s="34"/>
      <c r="U92" s="35"/>
      <c r="V92" s="13" t="n">
        <v>-0.087473711696294</v>
      </c>
      <c r="W92" s="13" t="n">
        <v>-0.0388019357377107</v>
      </c>
      <c r="X92" s="13" t="n">
        <f aca="false">PRODUCT(V92:W92)</f>
        <v>0.00339414933997863</v>
      </c>
      <c r="Y92" s="56"/>
      <c r="Z92" s="56"/>
      <c r="AA92" s="56"/>
      <c r="AB92" s="56"/>
      <c r="AC92" s="57"/>
      <c r="AD92" s="56"/>
      <c r="AE92" s="56"/>
      <c r="AF92" s="56"/>
      <c r="AG92" s="56"/>
      <c r="AH92" s="56"/>
      <c r="AI92" s="56"/>
      <c r="AJ92" s="56"/>
    </row>
    <row r="93" customFormat="false" ht="15" hidden="false" customHeight="false" outlineLevel="0" collapsed="false">
      <c r="T93" s="34"/>
      <c r="U93" s="35"/>
      <c r="V93" s="13" t="n">
        <v>0.0732795320897504</v>
      </c>
      <c r="W93" s="13" t="n">
        <v>-1.68253861430046E-005</v>
      </c>
      <c r="X93" s="13" t="n">
        <f aca="false">PRODUCT(V93:W93)</f>
        <v>-1.23295642378875E-006</v>
      </c>
      <c r="Y93" s="56"/>
      <c r="Z93" s="56"/>
      <c r="AA93" s="56"/>
      <c r="AB93" s="56"/>
      <c r="AC93" s="57"/>
      <c r="AD93" s="56"/>
      <c r="AE93" s="56"/>
      <c r="AF93" s="56"/>
      <c r="AG93" s="56"/>
      <c r="AH93" s="56"/>
      <c r="AI93" s="56"/>
      <c r="AJ93" s="56"/>
    </row>
    <row r="94" customFormat="false" ht="15" hidden="false" customHeight="false" outlineLevel="0" collapsed="false">
      <c r="T94" s="34"/>
      <c r="U94" s="35"/>
      <c r="V94" s="13" t="n">
        <v>0.00445633154097713</v>
      </c>
      <c r="W94" s="13" t="n">
        <v>-0.0347440531508463</v>
      </c>
      <c r="X94" s="13" t="n">
        <f aca="false">PRODUCT(V94:W94)</f>
        <v>-0.000154831019917502</v>
      </c>
      <c r="Y94" s="56"/>
      <c r="Z94" s="56"/>
      <c r="AA94" s="56"/>
      <c r="AB94" s="56"/>
      <c r="AC94" s="57"/>
      <c r="AD94" s="56"/>
      <c r="AE94" s="56"/>
      <c r="AF94" s="56"/>
      <c r="AG94" s="56"/>
      <c r="AH94" s="56"/>
      <c r="AI94" s="56"/>
      <c r="AJ94" s="56"/>
    </row>
    <row r="95" customFormat="false" ht="15" hidden="false" customHeight="false" outlineLevel="0" collapsed="false">
      <c r="T95" s="34"/>
      <c r="U95" s="35"/>
      <c r="V95" s="13" t="n">
        <v>-0.0334567538607367</v>
      </c>
      <c r="W95" s="13" t="n">
        <v>-0.0164044636239398</v>
      </c>
      <c r="X95" s="13" t="n">
        <f aca="false">PRODUCT(V95:W95)</f>
        <v>0.000548840101683563</v>
      </c>
      <c r="Y95" s="56"/>
      <c r="Z95" s="56"/>
      <c r="AA95" s="56"/>
      <c r="AB95" s="56"/>
      <c r="AC95" s="57"/>
      <c r="AD95" s="56"/>
      <c r="AE95" s="56"/>
      <c r="AF95" s="56"/>
      <c r="AG95" s="56"/>
      <c r="AH95" s="56"/>
      <c r="AI95" s="56"/>
      <c r="AJ95" s="56"/>
    </row>
    <row r="96" customFormat="false" ht="15" hidden="false" customHeight="false" outlineLevel="0" collapsed="false">
      <c r="T96" s="34"/>
      <c r="U96" s="35"/>
      <c r="V96" s="13" t="n">
        <v>-0.00804737261933042</v>
      </c>
      <c r="W96" s="13" t="n">
        <v>-0.0241061899177355</v>
      </c>
      <c r="X96" s="13" t="n">
        <f aca="false">PRODUCT(V96:W96)</f>
        <v>0.000193991492700364</v>
      </c>
      <c r="Y96" s="56"/>
      <c r="Z96" s="56"/>
      <c r="AA96" s="56"/>
      <c r="AB96" s="56"/>
      <c r="AC96" s="57"/>
      <c r="AD96" s="56"/>
      <c r="AE96" s="56"/>
      <c r="AF96" s="56"/>
      <c r="AG96" s="56"/>
      <c r="AH96" s="56"/>
      <c r="AI96" s="56"/>
      <c r="AJ96" s="56"/>
    </row>
    <row r="97" customFormat="false" ht="15" hidden="false" customHeight="false" outlineLevel="0" collapsed="false">
      <c r="T97" s="34"/>
      <c r="U97" s="35"/>
      <c r="V97" s="13" t="n">
        <v>-0.010622160218789</v>
      </c>
      <c r="W97" s="13" t="n">
        <v>0.0648956002343848</v>
      </c>
      <c r="X97" s="13" t="n">
        <f aca="false">PRODUCT(V97:W97)</f>
        <v>-0.000689331463184116</v>
      </c>
      <c r="Y97" s="56"/>
      <c r="Z97" s="56"/>
      <c r="AA97" s="56"/>
      <c r="AB97" s="56"/>
      <c r="AC97" s="57"/>
      <c r="AD97" s="56"/>
      <c r="AE97" s="56"/>
      <c r="AF97" s="56"/>
      <c r="AG97" s="56"/>
      <c r="AH97" s="56"/>
      <c r="AI97" s="56"/>
      <c r="AJ97" s="56"/>
    </row>
    <row r="98" customFormat="false" ht="15" hidden="false" customHeight="false" outlineLevel="0" collapsed="false">
      <c r="T98" s="34"/>
      <c r="U98" s="59" t="s">
        <v>24</v>
      </c>
      <c r="V98" s="16" t="n">
        <f aca="false" t="array" ref="V98:V118">'Data Gathering and ect'!F11:F31</f>
        <v>0.0100368413849186</v>
      </c>
      <c r="W98" s="60" t="n">
        <f aca="false" t="array" ref="W98:W118">'Data Gathering and ect'!F327:F347</f>
        <v>-0.00501176200619469</v>
      </c>
      <c r="X98" s="60" t="n">
        <f aca="false">PRODUCT(V98:W98)</f>
        <v>-5.03022603151375E-005</v>
      </c>
      <c r="Y98" s="61" t="n">
        <f aca="false">SUM(V98:V118)</f>
        <v>-0.0798562361055913</v>
      </c>
      <c r="Z98" s="61" t="n">
        <f aca="false">SUM(W98:W118)</f>
        <v>-0.0216217509939103</v>
      </c>
      <c r="AA98" s="61" t="n">
        <f aca="false">SUM(X98:X118)</f>
        <v>0.00232417240454019</v>
      </c>
      <c r="AB98" s="43" t="n">
        <f aca="false">Y98*Z98</f>
        <v>0.00172663165238601</v>
      </c>
      <c r="AC98" s="58" t="n">
        <f aca="false">COUNT(W98:W118)</f>
        <v>21</v>
      </c>
      <c r="AD98" s="43" t="n">
        <f aca="false" t="array" ref="AD98:AD98">SUM(POWER(V98:V118,2))</f>
        <v>0.00634129522044444</v>
      </c>
      <c r="AE98" s="43" t="n">
        <f aca="false" t="array" ref="AE98:AE98">SUM(POWER(W98:W118,2))</f>
        <v>0.00458247632227326</v>
      </c>
      <c r="AF98" s="43" t="n">
        <f aca="false">(AA98*AC98)-(AB98)</f>
        <v>0.0470809888429579</v>
      </c>
      <c r="AG98" s="43" t="n">
        <f aca="false">(AC98*AD98)-(POWER(Y98,2))</f>
        <v>0.126790181184381</v>
      </c>
      <c r="AH98" s="43" t="n">
        <f aca="false">(AC98*AE98)-(POWER(Z98,2))</f>
        <v>0.0957645026516959</v>
      </c>
      <c r="AI98" s="43" t="n">
        <f aca="false">SQRT(AG98*AH98)</f>
        <v>0.110190737551941</v>
      </c>
      <c r="AJ98" s="43" t="n">
        <f aca="false">AF98 / AI98</f>
        <v>0.427268116077046</v>
      </c>
    </row>
    <row r="99" customFormat="false" ht="15" hidden="false" customHeight="false" outlineLevel="0" collapsed="false">
      <c r="T99" s="34"/>
      <c r="U99" s="59"/>
      <c r="V99" s="16" t="n">
        <v>-8.14693416675283E-005</v>
      </c>
      <c r="W99" s="16" t="n">
        <v>0.02352673785464</v>
      </c>
      <c r="X99" s="60" t="n">
        <f aca="false">PRODUCT(V99:W99)</f>
        <v>-1.91670784460204E-006</v>
      </c>
      <c r="Y99" s="61"/>
      <c r="Z99" s="61"/>
      <c r="AA99" s="61"/>
      <c r="AB99" s="43"/>
      <c r="AC99" s="58"/>
      <c r="AD99" s="43"/>
      <c r="AE99" s="43"/>
      <c r="AF99" s="43"/>
      <c r="AG99" s="43"/>
      <c r="AH99" s="43"/>
      <c r="AI99" s="43"/>
      <c r="AJ99" s="43"/>
    </row>
    <row r="100" customFormat="false" ht="15" hidden="false" customHeight="false" outlineLevel="0" collapsed="false">
      <c r="T100" s="34"/>
      <c r="U100" s="59"/>
      <c r="V100" s="16" t="n">
        <v>-0.0174404074587571</v>
      </c>
      <c r="W100" s="16" t="n">
        <v>0.00705059488162085</v>
      </c>
      <c r="X100" s="60" t="n">
        <f aca="false">PRODUCT(V100:W100)</f>
        <v>-0.000122965247562095</v>
      </c>
      <c r="Y100" s="61"/>
      <c r="Z100" s="61"/>
      <c r="AA100" s="61"/>
      <c r="AB100" s="43"/>
      <c r="AC100" s="58"/>
      <c r="AD100" s="43"/>
      <c r="AE100" s="43"/>
      <c r="AF100" s="43"/>
      <c r="AG100" s="43"/>
      <c r="AH100" s="43"/>
      <c r="AI100" s="43"/>
      <c r="AJ100" s="43"/>
    </row>
    <row r="101" customFormat="false" ht="15" hidden="false" customHeight="false" outlineLevel="0" collapsed="false">
      <c r="T101" s="34"/>
      <c r="U101" s="59"/>
      <c r="V101" s="16" t="n">
        <v>-0.00532570994132797</v>
      </c>
      <c r="W101" s="16" t="n">
        <v>-0.0122624934824085</v>
      </c>
      <c r="X101" s="60" t="n">
        <f aca="false">PRODUCT(V101:W101)</f>
        <v>6.53064834447324E-005</v>
      </c>
      <c r="Y101" s="61"/>
      <c r="Z101" s="61"/>
      <c r="AA101" s="61"/>
      <c r="AB101" s="43"/>
      <c r="AC101" s="58"/>
      <c r="AD101" s="43"/>
      <c r="AE101" s="43"/>
      <c r="AF101" s="43"/>
      <c r="AG101" s="43"/>
      <c r="AH101" s="43"/>
      <c r="AI101" s="43"/>
      <c r="AJ101" s="43"/>
    </row>
    <row r="102" customFormat="false" ht="15" hidden="false" customHeight="false" outlineLevel="0" collapsed="false">
      <c r="T102" s="34"/>
      <c r="U102" s="59"/>
      <c r="V102" s="16" t="n">
        <v>-0.0531890480298163</v>
      </c>
      <c r="W102" s="16" t="n">
        <v>-0.0349261781008394</v>
      </c>
      <c r="X102" s="60" t="n">
        <f aca="false">PRODUCT(V102:W102)</f>
        <v>0.00185769016450347</v>
      </c>
      <c r="Y102" s="61"/>
      <c r="Z102" s="61"/>
      <c r="AA102" s="61"/>
      <c r="AB102" s="43"/>
      <c r="AC102" s="58"/>
      <c r="AD102" s="43"/>
      <c r="AE102" s="43"/>
      <c r="AF102" s="43"/>
      <c r="AG102" s="43"/>
      <c r="AH102" s="43"/>
      <c r="AI102" s="43"/>
      <c r="AJ102" s="43"/>
    </row>
    <row r="103" customFormat="false" ht="15" hidden="false" customHeight="false" outlineLevel="0" collapsed="false">
      <c r="T103" s="34"/>
      <c r="U103" s="59"/>
      <c r="V103" s="16" t="n">
        <v>-0.0154974411647899</v>
      </c>
      <c r="W103" s="16" t="n">
        <v>0.0125778124039275</v>
      </c>
      <c r="X103" s="60" t="n">
        <f aca="false">PRODUCT(V103:W103)</f>
        <v>-0.000194923907711631</v>
      </c>
      <c r="Y103" s="61"/>
      <c r="Z103" s="61"/>
      <c r="AA103" s="61"/>
      <c r="AB103" s="43"/>
      <c r="AC103" s="58"/>
      <c r="AD103" s="43"/>
      <c r="AE103" s="43"/>
      <c r="AF103" s="43"/>
      <c r="AG103" s="43"/>
      <c r="AH103" s="43"/>
      <c r="AI103" s="43"/>
      <c r="AJ103" s="43"/>
    </row>
    <row r="104" customFormat="false" ht="15" hidden="false" customHeight="false" outlineLevel="0" collapsed="false">
      <c r="T104" s="34"/>
      <c r="U104" s="59"/>
      <c r="V104" s="16" t="n">
        <v>-0.00503625509816352</v>
      </c>
      <c r="W104" s="16" t="n">
        <v>0.00587632033539087</v>
      </c>
      <c r="X104" s="60" t="n">
        <f aca="false">PRODUCT(V104:W104)</f>
        <v>-2.95946482475542E-005</v>
      </c>
      <c r="Y104" s="61"/>
      <c r="Z104" s="61"/>
      <c r="AA104" s="61"/>
      <c r="AB104" s="43"/>
      <c r="AC104" s="58"/>
      <c r="AD104" s="43"/>
      <c r="AE104" s="43"/>
      <c r="AF104" s="43"/>
      <c r="AG104" s="43"/>
      <c r="AH104" s="43"/>
      <c r="AI104" s="43"/>
      <c r="AJ104" s="43"/>
    </row>
    <row r="105" customFormat="false" ht="15" hidden="false" customHeight="false" outlineLevel="0" collapsed="false">
      <c r="T105" s="34"/>
      <c r="U105" s="59"/>
      <c r="V105" s="16" t="n">
        <v>-0.00466391940598321</v>
      </c>
      <c r="W105" s="16" t="n">
        <v>0.0191552298439781</v>
      </c>
      <c r="X105" s="60" t="n">
        <f aca="false">PRODUCT(V105:W105)</f>
        <v>-8.93384481953982E-005</v>
      </c>
      <c r="Y105" s="61"/>
      <c r="Z105" s="61"/>
      <c r="AA105" s="61"/>
      <c r="AB105" s="43"/>
      <c r="AC105" s="58"/>
      <c r="AD105" s="43"/>
      <c r="AE105" s="43"/>
      <c r="AF105" s="43"/>
      <c r="AG105" s="43"/>
      <c r="AH105" s="43"/>
      <c r="AI105" s="43"/>
      <c r="AJ105" s="43"/>
    </row>
    <row r="106" customFormat="false" ht="15" hidden="false" customHeight="false" outlineLevel="0" collapsed="false">
      <c r="T106" s="34"/>
      <c r="U106" s="59"/>
      <c r="V106" s="16" t="n">
        <v>0.0131621225360554</v>
      </c>
      <c r="W106" s="16" t="n">
        <v>-0.00185961774265309</v>
      </c>
      <c r="X106" s="60" t="n">
        <f aca="false">PRODUCT(V106:W106)</f>
        <v>-2.44765165990227E-005</v>
      </c>
      <c r="Y106" s="61"/>
      <c r="Z106" s="61"/>
      <c r="AA106" s="61"/>
      <c r="AB106" s="43"/>
      <c r="AC106" s="58"/>
      <c r="AD106" s="43"/>
      <c r="AE106" s="43"/>
      <c r="AF106" s="43"/>
      <c r="AG106" s="43"/>
      <c r="AH106" s="43"/>
      <c r="AI106" s="43"/>
      <c r="AJ106" s="43"/>
    </row>
    <row r="107" customFormat="false" ht="15" hidden="false" customHeight="false" outlineLevel="0" collapsed="false">
      <c r="T107" s="34"/>
      <c r="U107" s="59"/>
      <c r="V107" s="16" t="n">
        <v>0.00323106111335392</v>
      </c>
      <c r="W107" s="16" t="n">
        <v>0.00132051302884406</v>
      </c>
      <c r="X107" s="60" t="n">
        <f aca="false">PRODUCT(V107:W107)</f>
        <v>4.26665829717525E-006</v>
      </c>
      <c r="Y107" s="61"/>
      <c r="Z107" s="61"/>
      <c r="AA107" s="61"/>
      <c r="AB107" s="43"/>
      <c r="AC107" s="58"/>
      <c r="AD107" s="43"/>
      <c r="AE107" s="43"/>
      <c r="AF107" s="43"/>
      <c r="AG107" s="43"/>
      <c r="AH107" s="43"/>
      <c r="AI107" s="43"/>
      <c r="AJ107" s="43"/>
    </row>
    <row r="108" customFormat="false" ht="15" hidden="false" customHeight="false" outlineLevel="0" collapsed="false">
      <c r="T108" s="34"/>
      <c r="U108" s="59"/>
      <c r="V108" s="16" t="n">
        <v>-0.0194594104873342</v>
      </c>
      <c r="W108" s="16" t="n">
        <v>-0.0088142461366818</v>
      </c>
      <c r="X108" s="60" t="n">
        <f aca="false">PRODUCT(V108:W108)</f>
        <v>0.000171520033710091</v>
      </c>
      <c r="Y108" s="61"/>
      <c r="Z108" s="61"/>
      <c r="AA108" s="61"/>
      <c r="AB108" s="43"/>
      <c r="AC108" s="58"/>
      <c r="AD108" s="43"/>
      <c r="AE108" s="43"/>
      <c r="AF108" s="43"/>
      <c r="AG108" s="43"/>
      <c r="AH108" s="43"/>
      <c r="AI108" s="43"/>
      <c r="AJ108" s="43"/>
    </row>
    <row r="109" customFormat="false" ht="15" hidden="false" customHeight="false" outlineLevel="0" collapsed="false">
      <c r="T109" s="34"/>
      <c r="U109" s="59"/>
      <c r="V109" s="16" t="n">
        <v>0.0205758909575238</v>
      </c>
      <c r="W109" s="16" t="n">
        <v>-0.0161390405846671</v>
      </c>
      <c r="X109" s="60" t="n">
        <f aca="false">PRODUCT(V109:W109)</f>
        <v>-0.000332075139229161</v>
      </c>
      <c r="Y109" s="61"/>
      <c r="Z109" s="61"/>
      <c r="AA109" s="61"/>
      <c r="AB109" s="43"/>
      <c r="AC109" s="58"/>
      <c r="AD109" s="43"/>
      <c r="AE109" s="43"/>
      <c r="AF109" s="43"/>
      <c r="AG109" s="43"/>
      <c r="AH109" s="43"/>
      <c r="AI109" s="43"/>
      <c r="AJ109" s="43"/>
    </row>
    <row r="110" customFormat="false" ht="15" hidden="false" customHeight="false" outlineLevel="0" collapsed="false">
      <c r="T110" s="34"/>
      <c r="U110" s="59"/>
      <c r="V110" s="16" t="n">
        <v>-0.0142882700912885</v>
      </c>
      <c r="W110" s="16" t="n">
        <v>-0.022503021563514</v>
      </c>
      <c r="X110" s="60" t="n">
        <f aca="false">PRODUCT(V110:W110)</f>
        <v>0.000321529249969577</v>
      </c>
      <c r="Y110" s="61"/>
      <c r="Z110" s="61"/>
      <c r="AA110" s="61"/>
      <c r="AB110" s="43"/>
      <c r="AC110" s="58"/>
      <c r="AD110" s="43"/>
      <c r="AE110" s="43"/>
      <c r="AF110" s="43"/>
      <c r="AG110" s="43"/>
      <c r="AH110" s="43"/>
      <c r="AI110" s="43"/>
      <c r="AJ110" s="43"/>
    </row>
    <row r="111" customFormat="false" ht="15" hidden="false" customHeight="false" outlineLevel="0" collapsed="false">
      <c r="T111" s="34"/>
      <c r="U111" s="59"/>
      <c r="V111" s="16" t="n">
        <v>0.0291843404542576</v>
      </c>
      <c r="W111" s="16" t="n">
        <v>0.0156093186592727</v>
      </c>
      <c r="X111" s="60" t="n">
        <f aca="false">PRODUCT(V111:W111)</f>
        <v>0.00045554767001121</v>
      </c>
      <c r="Y111" s="61"/>
      <c r="Z111" s="61"/>
      <c r="AA111" s="61"/>
      <c r="AB111" s="43"/>
      <c r="AC111" s="58"/>
      <c r="AD111" s="43"/>
      <c r="AE111" s="43"/>
      <c r="AF111" s="43"/>
      <c r="AG111" s="43"/>
      <c r="AH111" s="43"/>
      <c r="AI111" s="43"/>
      <c r="AJ111" s="43"/>
    </row>
    <row r="112" customFormat="false" ht="15" hidden="false" customHeight="false" outlineLevel="0" collapsed="false">
      <c r="T112" s="34"/>
      <c r="U112" s="59"/>
      <c r="V112" s="16" t="n">
        <v>0.0114531647313392</v>
      </c>
      <c r="W112" s="16" t="n">
        <v>0.000848385464056634</v>
      </c>
      <c r="X112" s="60" t="n">
        <f aca="false">PRODUCT(V112:W112)</f>
        <v>9.71669847551428E-006</v>
      </c>
      <c r="Y112" s="61"/>
      <c r="Z112" s="61"/>
      <c r="AA112" s="61"/>
      <c r="AB112" s="43"/>
      <c r="AC112" s="58"/>
      <c r="AD112" s="43"/>
      <c r="AE112" s="43"/>
      <c r="AF112" s="43"/>
      <c r="AG112" s="43"/>
      <c r="AH112" s="43"/>
      <c r="AI112" s="43"/>
      <c r="AJ112" s="43"/>
    </row>
    <row r="113" customFormat="false" ht="15" hidden="false" customHeight="false" outlineLevel="0" collapsed="false">
      <c r="T113" s="34"/>
      <c r="U113" s="59"/>
      <c r="V113" s="16" t="n">
        <v>-0.00262718373829607</v>
      </c>
      <c r="W113" s="16" t="n">
        <v>0.00883810822235986</v>
      </c>
      <c r="X113" s="60" t="n">
        <f aca="false">PRODUCT(V113:W113)</f>
        <v>-2.32193341990846E-005</v>
      </c>
      <c r="Y113" s="61"/>
      <c r="Z113" s="61"/>
      <c r="AA113" s="61"/>
      <c r="AB113" s="43"/>
      <c r="AC113" s="58"/>
      <c r="AD113" s="43"/>
      <c r="AE113" s="43"/>
      <c r="AF113" s="43"/>
      <c r="AG113" s="43"/>
      <c r="AH113" s="43"/>
      <c r="AI113" s="43"/>
      <c r="AJ113" s="43"/>
    </row>
    <row r="114" customFormat="false" ht="15" hidden="false" customHeight="false" outlineLevel="0" collapsed="false">
      <c r="T114" s="34"/>
      <c r="U114" s="59"/>
      <c r="V114" s="16" t="n">
        <v>0.00143909419481503</v>
      </c>
      <c r="W114" s="16" t="n">
        <v>0.0109481594253484</v>
      </c>
      <c r="X114" s="60" t="n">
        <f aca="false">PRODUCT(V114:W114)</f>
        <v>1.57554326729283E-005</v>
      </c>
      <c r="Y114" s="61"/>
      <c r="Z114" s="61"/>
      <c r="AA114" s="61"/>
      <c r="AB114" s="43"/>
      <c r="AC114" s="58"/>
      <c r="AD114" s="43"/>
      <c r="AE114" s="43"/>
      <c r="AF114" s="43"/>
      <c r="AG114" s="43"/>
      <c r="AH114" s="43"/>
      <c r="AI114" s="43"/>
      <c r="AJ114" s="43"/>
    </row>
    <row r="115" customFormat="false" ht="15" hidden="false" customHeight="false" outlineLevel="0" collapsed="false">
      <c r="T115" s="34"/>
      <c r="U115" s="59"/>
      <c r="V115" s="16" t="n">
        <v>-0.000335579478415227</v>
      </c>
      <c r="W115" s="16" t="n">
        <v>0.0130707882223309</v>
      </c>
      <c r="X115" s="60" t="n">
        <f aca="false">PRODUCT(V115:W115)</f>
        <v>-4.3862882941257E-006</v>
      </c>
      <c r="Y115" s="61"/>
      <c r="Z115" s="61"/>
      <c r="AA115" s="61"/>
      <c r="AB115" s="43"/>
      <c r="AC115" s="58"/>
      <c r="AD115" s="43"/>
      <c r="AE115" s="43"/>
      <c r="AF115" s="43"/>
      <c r="AG115" s="43"/>
      <c r="AH115" s="43"/>
      <c r="AI115" s="43"/>
      <c r="AJ115" s="43"/>
    </row>
    <row r="116" customFormat="false" ht="15" hidden="false" customHeight="false" outlineLevel="0" collapsed="false">
      <c r="T116" s="34"/>
      <c r="U116" s="59"/>
      <c r="V116" s="16" t="n">
        <v>-0.0123151871599116</v>
      </c>
      <c r="W116" s="16" t="n">
        <v>-0.0156128593145617</v>
      </c>
      <c r="X116" s="60" t="n">
        <f aca="false">PRODUCT(V116:W116)</f>
        <v>0.000192275284560196</v>
      </c>
      <c r="Y116" s="61"/>
      <c r="Z116" s="61"/>
      <c r="AA116" s="61"/>
      <c r="AB116" s="43"/>
      <c r="AC116" s="58"/>
      <c r="AD116" s="43"/>
      <c r="AE116" s="43"/>
      <c r="AF116" s="43"/>
      <c r="AG116" s="43"/>
      <c r="AH116" s="43"/>
      <c r="AI116" s="43"/>
      <c r="AJ116" s="43"/>
    </row>
    <row r="117" customFormat="false" ht="15" hidden="false" customHeight="false" outlineLevel="0" collapsed="false">
      <c r="T117" s="34"/>
      <c r="U117" s="59"/>
      <c r="V117" s="16" t="n">
        <v>-0.0212492147440653</v>
      </c>
      <c r="W117" s="16" t="n">
        <v>-0.00687206366679583</v>
      </c>
      <c r="X117" s="60" t="n">
        <f aca="false">PRODUCT(V117:W117)</f>
        <v>0.000146025956590633</v>
      </c>
      <c r="Y117" s="61"/>
      <c r="Z117" s="61"/>
      <c r="AA117" s="61"/>
      <c r="AB117" s="43"/>
      <c r="AC117" s="58"/>
      <c r="AD117" s="43"/>
      <c r="AE117" s="43"/>
      <c r="AF117" s="43"/>
      <c r="AG117" s="43"/>
      <c r="AH117" s="43"/>
      <c r="AI117" s="43"/>
      <c r="AJ117" s="43"/>
    </row>
    <row r="118" customFormat="false" ht="15" hidden="false" customHeight="false" outlineLevel="0" collapsed="false">
      <c r="T118" s="34"/>
      <c r="U118" s="59"/>
      <c r="V118" s="16" t="n">
        <v>0.0025703446619616</v>
      </c>
      <c r="W118" s="16" t="n">
        <v>-0.0164424367373641</v>
      </c>
      <c r="X118" s="60" t="n">
        <f aca="false">PRODUCT(V118:W118)</f>
        <v>-4.22627294975251E-005</v>
      </c>
      <c r="Y118" s="61"/>
      <c r="Z118" s="61"/>
      <c r="AA118" s="61"/>
      <c r="AB118" s="43"/>
      <c r="AC118" s="58"/>
      <c r="AD118" s="43"/>
      <c r="AE118" s="43"/>
      <c r="AF118" s="43"/>
      <c r="AG118" s="43"/>
      <c r="AH118" s="43"/>
      <c r="AI118" s="43"/>
      <c r="AJ118" s="43"/>
    </row>
    <row r="119" customFormat="false" ht="15" hidden="false" customHeight="false" outlineLevel="0" collapsed="false">
      <c r="T119" s="34"/>
      <c r="U119" s="59"/>
      <c r="V119" s="13" t="n">
        <f aca="false" t="array" ref="V119:V144">'Data Gathering and ect'!F32:F57</f>
        <v>0.013822271570092</v>
      </c>
      <c r="W119" s="13" t="n">
        <f aca="false" t="array" ref="W119:W144">'Data Gathering and ect'!F348:F373</f>
        <v>0.0156543920092478</v>
      </c>
      <c r="X119" s="13" t="n">
        <f aca="false">PRODUCT(V119:W119)</f>
        <v>0.000216379257616501</v>
      </c>
      <c r="Y119" s="56" t="n">
        <f aca="false">SUM(V119:V144)</f>
        <v>-0.372564463964317</v>
      </c>
      <c r="Z119" s="56" t="n">
        <f aca="false">SUM(W119:W144)</f>
        <v>-0.249338051904321</v>
      </c>
      <c r="AA119" s="56" t="n">
        <f aca="false">SUM(X119:X144)</f>
        <v>0.107396616625621</v>
      </c>
      <c r="AB119" s="56" t="n">
        <f aca="false">Y119*Z119</f>
        <v>0.0928944976536405</v>
      </c>
      <c r="AC119" s="56" t="n">
        <f aca="false">COUNT(W119:W144)</f>
        <v>26</v>
      </c>
      <c r="AD119" s="56" t="n">
        <f aca="false" t="array" ref="AD119:AD119">SUM(POWER(V119:V144,2))</f>
        <v>0.124264859766193</v>
      </c>
      <c r="AE119" s="56" t="n">
        <f aca="false" t="array" ref="AE119:AE119">SUM(POWER(W119:W144,2))</f>
        <v>0.109481364943174</v>
      </c>
      <c r="AF119" s="56" t="n">
        <f aca="false">(AA119*AC119)-(AB119)</f>
        <v>2.6994175346125</v>
      </c>
      <c r="AG119" s="56" t="n">
        <f aca="false">(AC119*AD119)-(POWER(Y119,2))</f>
        <v>3.092082074112</v>
      </c>
      <c r="AH119" s="56" t="n">
        <f aca="false">(AC119*AE119)-(POWER(Z119,2))</f>
        <v>2.78434602439508</v>
      </c>
      <c r="AI119" s="56" t="n">
        <f aca="false">SQRT(AG119*AH119)</f>
        <v>2.9341824125567</v>
      </c>
      <c r="AJ119" s="56" t="n">
        <f aca="false">AF119 / AI119</f>
        <v>0.919989678576378</v>
      </c>
    </row>
    <row r="120" customFormat="false" ht="15" hidden="false" customHeight="false" outlineLevel="0" collapsed="false">
      <c r="T120" s="34"/>
      <c r="U120" s="59"/>
      <c r="V120" s="13" t="n">
        <v>0.0226829217835256</v>
      </c>
      <c r="W120" s="13" t="n">
        <v>-0.0152770401967075</v>
      </c>
      <c r="X120" s="13" t="n">
        <f aca="false">PRODUCT(V120:W120)</f>
        <v>-0.000346527907865693</v>
      </c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</row>
    <row r="121" customFormat="false" ht="15" hidden="false" customHeight="false" outlineLevel="0" collapsed="false">
      <c r="T121" s="34"/>
      <c r="U121" s="59"/>
      <c r="V121" s="13" t="n">
        <v>-0.0130559318290064</v>
      </c>
      <c r="W121" s="13" t="n">
        <v>-0.00441939777758016</v>
      </c>
      <c r="X121" s="13" t="n">
        <f aca="false">PRODUCT(V121:W121)</f>
        <v>5.7699356109349E-005</v>
      </c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</row>
    <row r="122" customFormat="false" ht="15" hidden="false" customHeight="false" outlineLevel="0" collapsed="false">
      <c r="T122" s="34"/>
      <c r="U122" s="59"/>
      <c r="V122" s="13" t="n">
        <v>0.00361222761554281</v>
      </c>
      <c r="W122" s="13" t="n">
        <v>-0.000997925288084289</v>
      </c>
      <c r="X122" s="13" t="n">
        <f aca="false">PRODUCT(V122:W122)</f>
        <v>-3.60473328386658E-006</v>
      </c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</row>
    <row r="123" customFormat="false" ht="15" hidden="false" customHeight="false" outlineLevel="0" collapsed="false">
      <c r="T123" s="34"/>
      <c r="U123" s="59"/>
      <c r="V123" s="13" t="n">
        <v>0.00459882254854982</v>
      </c>
      <c r="W123" s="13" t="n">
        <v>0.00520901689469611</v>
      </c>
      <c r="X123" s="13" t="n">
        <f aca="false">PRODUCT(V123:W123)</f>
        <v>2.39553443511054E-005</v>
      </c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</row>
    <row r="124" customFormat="false" ht="15" hidden="false" customHeight="false" outlineLevel="0" collapsed="false">
      <c r="T124" s="34"/>
      <c r="U124" s="59"/>
      <c r="V124" s="13" t="n">
        <v>-0.0148035597914546</v>
      </c>
      <c r="W124" s="13" t="n">
        <v>0.000488630175269122</v>
      </c>
      <c r="X124" s="13" t="n">
        <f aca="false">PRODUCT(V124:W124)</f>
        <v>-7.23346601550539E-006</v>
      </c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</row>
    <row r="125" customFormat="false" ht="15" hidden="false" customHeight="false" outlineLevel="0" collapsed="false">
      <c r="T125" s="34"/>
      <c r="U125" s="59"/>
      <c r="V125" s="13" t="n">
        <v>-0.0187925693350444</v>
      </c>
      <c r="W125" s="13" t="n">
        <v>-0.0211588830495266</v>
      </c>
      <c r="X125" s="13" t="n">
        <f aca="false">PRODUCT(V125:W125)</f>
        <v>0.000397629776760324</v>
      </c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</row>
    <row r="126" customFormat="false" ht="15" hidden="false" customHeight="false" outlineLevel="0" collapsed="false">
      <c r="T126" s="34"/>
      <c r="U126" s="59"/>
      <c r="V126" s="13" t="n">
        <v>-0.0183698540485633</v>
      </c>
      <c r="W126" s="13" t="n">
        <v>-0.0171658737065741</v>
      </c>
      <c r="X126" s="13" t="n">
        <f aca="false">PRODUCT(V126:W126)</f>
        <v>0.000315334594605837</v>
      </c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</row>
    <row r="127" customFormat="false" ht="15" hidden="false" customHeight="false" outlineLevel="0" collapsed="false">
      <c r="T127" s="34"/>
      <c r="U127" s="59"/>
      <c r="V127" s="13" t="n">
        <v>-0.0316855497869959</v>
      </c>
      <c r="W127" s="13" t="n">
        <v>-0.0629107928451944</v>
      </c>
      <c r="X127" s="13" t="n">
        <f aca="false">PRODUCT(V127:W127)</f>
        <v>0.00199336305883579</v>
      </c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</row>
    <row r="128" customFormat="false" ht="15" hidden="false" customHeight="false" outlineLevel="0" collapsed="false">
      <c r="T128" s="34"/>
      <c r="U128" s="59"/>
      <c r="V128" s="13" t="n">
        <v>0.0503081111498069</v>
      </c>
      <c r="W128" s="13" t="n">
        <v>0.0349877783745267</v>
      </c>
      <c r="X128" s="13" t="n">
        <f aca="false">PRODUCT(V128:W128)</f>
        <v>0.0017601690433505</v>
      </c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</row>
    <row r="129" customFormat="false" ht="15" hidden="false" customHeight="false" outlineLevel="0" collapsed="false">
      <c r="T129" s="34"/>
      <c r="U129" s="59"/>
      <c r="V129" s="13" t="n">
        <v>-0.0271564689414774</v>
      </c>
      <c r="W129" s="13" t="n">
        <v>-0.0132470922217287</v>
      </c>
      <c r="X129" s="13" t="n">
        <f aca="false">PRODUCT(V129:W129)</f>
        <v>0.000359744248484262</v>
      </c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</row>
    <row r="130" customFormat="false" ht="15" hidden="false" customHeight="false" outlineLevel="0" collapsed="false">
      <c r="T130" s="34"/>
      <c r="U130" s="59"/>
      <c r="V130" s="13" t="n">
        <v>0.00408975097046316</v>
      </c>
      <c r="W130" s="13" t="n">
        <v>0.0234066299112286</v>
      </c>
      <c r="X130" s="13" t="n">
        <f aca="false">PRODUCT(V130:W130)</f>
        <v>9.57272873947192E-005</v>
      </c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</row>
    <row r="131" customFormat="false" ht="15" hidden="false" customHeight="false" outlineLevel="0" collapsed="false">
      <c r="T131" s="34"/>
      <c r="U131" s="59"/>
      <c r="V131" s="13" t="n">
        <v>-0.0822773106161368</v>
      </c>
      <c r="W131" s="13" t="n">
        <v>-0.0855493687361619</v>
      </c>
      <c r="X131" s="13" t="n">
        <f aca="false">PRODUCT(V131:W131)</f>
        <v>0.00703877198451962</v>
      </c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</row>
    <row r="132" customFormat="false" ht="15" hidden="false" customHeight="false" outlineLevel="0" collapsed="false">
      <c r="T132" s="34"/>
      <c r="U132" s="59"/>
      <c r="V132" s="13" t="n">
        <v>0.0141270036848233</v>
      </c>
      <c r="W132" s="13" t="n">
        <v>-0.00223882856733404</v>
      </c>
      <c r="X132" s="13" t="n">
        <f aca="false">PRODUCT(V132:W132)</f>
        <v>-3.16279394204157E-005</v>
      </c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</row>
    <row r="133" customFormat="false" ht="15" hidden="false" customHeight="false" outlineLevel="0" collapsed="false">
      <c r="T133" s="34"/>
      <c r="U133" s="59"/>
      <c r="V133" s="13" t="n">
        <v>-0.210501566281677</v>
      </c>
      <c r="W133" s="13" t="n">
        <v>-0.153092839402529</v>
      </c>
      <c r="X133" s="13" t="n">
        <f aca="false">PRODUCT(V133:W133)</f>
        <v>0.0322262824807416</v>
      </c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</row>
    <row r="134" customFormat="false" ht="15" hidden="false" customHeight="false" outlineLevel="0" collapsed="false">
      <c r="T134" s="34"/>
      <c r="U134" s="59"/>
      <c r="V134" s="13" t="n">
        <v>-0.190191858595584</v>
      </c>
      <c r="W134" s="13" t="n">
        <v>-0.209328580913109</v>
      </c>
      <c r="X134" s="13" t="n">
        <f aca="false">PRODUCT(V134:W134)</f>
        <v>0.0398125918610403</v>
      </c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</row>
    <row r="135" customFormat="false" ht="15" hidden="false" customHeight="false" outlineLevel="0" collapsed="false">
      <c r="T135" s="34"/>
      <c r="U135" s="59"/>
      <c r="V135" s="13" t="n">
        <v>0.119322626148417</v>
      </c>
      <c r="W135" s="13" t="n">
        <v>0.110959430554681</v>
      </c>
      <c r="X135" s="13" t="n">
        <f aca="false">PRODUCT(V135:W135)</f>
        <v>0.0132399706497174</v>
      </c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</row>
    <row r="136" customFormat="false" ht="15" hidden="false" customHeight="false" outlineLevel="0" collapsed="false">
      <c r="T136" s="34"/>
      <c r="U136" s="59"/>
      <c r="V136" s="13" t="n">
        <v>0.0153464645675871</v>
      </c>
      <c r="W136" s="13" t="n">
        <v>0.0237164245191437</v>
      </c>
      <c r="X136" s="13" t="n">
        <f aca="false">PRODUCT(V136:W136)</f>
        <v>0.000363963268552893</v>
      </c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</row>
    <row r="137" customFormat="false" ht="15" hidden="false" customHeight="false" outlineLevel="0" collapsed="false">
      <c r="T137" s="34"/>
      <c r="U137" s="59"/>
      <c r="V137" s="13" t="n">
        <v>0.00502953806093398</v>
      </c>
      <c r="W137" s="13" t="n">
        <v>0.0455280824270385</v>
      </c>
      <c r="X137" s="13" t="n">
        <f aca="false">PRODUCT(V137:W137)</f>
        <v>0.00022898522340813</v>
      </c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</row>
    <row r="138" customFormat="false" ht="15" hidden="false" customHeight="false" outlineLevel="0" collapsed="false">
      <c r="T138" s="34"/>
      <c r="U138" s="59"/>
      <c r="V138" s="13" t="n">
        <v>0.0431946019263032</v>
      </c>
      <c r="W138" s="13" t="n">
        <v>0.0393077065288061</v>
      </c>
      <c r="X138" s="13" t="n">
        <f aca="false">PRODUCT(V138:W138)</f>
        <v>0.00169788073614773</v>
      </c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</row>
    <row r="139" customFormat="false" ht="15" hidden="false" customHeight="false" outlineLevel="0" collapsed="false">
      <c r="T139" s="34"/>
      <c r="U139" s="59"/>
      <c r="V139" s="13" t="n">
        <v>-0.087473711696294</v>
      </c>
      <c r="W139" s="13" t="n">
        <v>-0.0667197228925254</v>
      </c>
      <c r="X139" s="13" t="n">
        <f aca="false">PRODUCT(V139:W139)</f>
        <v>0.00583622180475739</v>
      </c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</row>
    <row r="140" customFormat="false" ht="15" hidden="false" customHeight="false" outlineLevel="0" collapsed="false">
      <c r="T140" s="34"/>
      <c r="U140" s="59"/>
      <c r="V140" s="13" t="n">
        <v>0.0732795320897504</v>
      </c>
      <c r="W140" s="13" t="n">
        <v>0.0334725971174805</v>
      </c>
      <c r="X140" s="13" t="n">
        <f aca="false">PRODUCT(V140:W140)</f>
        <v>0.0024528562545977</v>
      </c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</row>
    <row r="141" customFormat="false" ht="15" hidden="false" customHeight="false" outlineLevel="0" collapsed="false">
      <c r="T141" s="34"/>
      <c r="U141" s="59"/>
      <c r="V141" s="13" t="n">
        <v>0.00445633154097713</v>
      </c>
      <c r="W141" s="13" t="n">
        <v>-0.00217034976892982</v>
      </c>
      <c r="X141" s="13" t="n">
        <f aca="false">PRODUCT(V141:W141)</f>
        <v>-9.67179813023438E-006</v>
      </c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</row>
    <row r="142" customFormat="false" ht="15" hidden="false" customHeight="false" outlineLevel="0" collapsed="false">
      <c r="T142" s="34"/>
      <c r="U142" s="59"/>
      <c r="V142" s="13" t="n">
        <v>-0.0334567538607367</v>
      </c>
      <c r="W142" s="13" t="n">
        <v>-0.0173542650642524</v>
      </c>
      <c r="X142" s="13" t="n">
        <f aca="false">PRODUCT(V142:W142)</f>
        <v>0.000580617374688675</v>
      </c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</row>
    <row r="143" customFormat="false" ht="15" hidden="false" customHeight="false" outlineLevel="0" collapsed="false">
      <c r="T143" s="34"/>
      <c r="U143" s="59"/>
      <c r="V143" s="13" t="n">
        <v>-0.00804737261933042</v>
      </c>
      <c r="W143" s="13" t="n">
        <v>0.0188299474502944</v>
      </c>
      <c r="X143" s="13" t="n">
        <f aca="false">PRODUCT(V143:W143)</f>
        <v>-0.00015153160353493</v>
      </c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</row>
    <row r="144" customFormat="false" ht="15" hidden="false" customHeight="false" outlineLevel="0" collapsed="false">
      <c r="T144" s="34"/>
      <c r="U144" s="59"/>
      <c r="V144" s="13" t="n">
        <v>-0.010622160218789</v>
      </c>
      <c r="W144" s="13" t="n">
        <v>0.0707322725635038</v>
      </c>
      <c r="X144" s="13" t="n">
        <f aca="false">PRODUCT(V144:W144)</f>
        <v>-0.000751329531808591</v>
      </c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</row>
    <row r="145" customFormat="false" ht="15" hidden="false" customHeight="false" outlineLevel="0" collapsed="false">
      <c r="T145" s="34"/>
      <c r="U145" s="35" t="s">
        <v>25</v>
      </c>
      <c r="V145" s="12" t="n">
        <f aca="false" t="array" ref="V145:V165">'Data Gathering and ect'!F11:F31</f>
        <v>0.0100368413849186</v>
      </c>
      <c r="W145" s="12" t="n">
        <f aca="false" t="array" ref="W145:W165">'Data Gathering and ect'!F137:F157</f>
        <v>-0.0165751114762571</v>
      </c>
      <c r="X145" s="12" t="n">
        <f aca="false">PRODUCT(V145:W145)</f>
        <v>-0.000166361764824536</v>
      </c>
      <c r="Y145" s="43" t="n">
        <f aca="false">SUM(V145:V165)</f>
        <v>-0.0798562361055913</v>
      </c>
      <c r="Z145" s="43" t="n">
        <f aca="false">SUM(W145:W165)</f>
        <v>-0.203461465269248</v>
      </c>
      <c r="AA145" s="43" t="n">
        <f aca="false">SUM(X145:X165)</f>
        <v>0.00358914329016485</v>
      </c>
      <c r="AB145" s="43" t="n">
        <f aca="false">Y145*Z145</f>
        <v>0.0162476668089306</v>
      </c>
      <c r="AC145" s="43" t="n">
        <f aca="false">COUNT(V145:V165)</f>
        <v>21</v>
      </c>
      <c r="AD145" s="43" t="n">
        <f aca="false" t="array" ref="AD145:AD145">SUM(POWER(V145:V165,2))</f>
        <v>0.00634129522044444</v>
      </c>
      <c r="AE145" s="43" t="n">
        <f aca="false" t="array" ref="AE145:AE145">SUM(POWER(W145:W165,2))</f>
        <v>0.00851291255220964</v>
      </c>
      <c r="AF145" s="43" t="n">
        <f aca="false">(AA145*AC145)-(AB145)</f>
        <v>0.0591243422845312</v>
      </c>
      <c r="AG145" s="43" t="n">
        <f aca="false">(AC145*AD145)-(POWER(Y145,2))</f>
        <v>0.126790181184381</v>
      </c>
      <c r="AH145" s="43" t="n">
        <f aca="false">(AC145*AE145)-(POWER(Z145,2))</f>
        <v>0.137374595746893</v>
      </c>
      <c r="AI145" s="43" t="n">
        <f aca="false">SQRT(AG145*AH145)</f>
        <v>0.131976323198063</v>
      </c>
      <c r="AJ145" s="43" t="n">
        <f aca="false">AF145 / AI145</f>
        <v>0.447992040176785</v>
      </c>
    </row>
    <row r="146" customFormat="false" ht="15" hidden="false" customHeight="false" outlineLevel="0" collapsed="false">
      <c r="T146" s="34"/>
      <c r="U146" s="35"/>
      <c r="V146" s="12" t="n">
        <v>-8.14693416675283E-005</v>
      </c>
      <c r="W146" s="12" t="n">
        <v>-0.00736726044012492</v>
      </c>
      <c r="X146" s="12" t="n">
        <f aca="false">PRODUCT(V146:W146)</f>
        <v>6.00205857950202E-007</v>
      </c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</row>
    <row r="147" customFormat="false" ht="15" hidden="false" customHeight="false" outlineLevel="0" collapsed="false">
      <c r="T147" s="34"/>
      <c r="U147" s="35"/>
      <c r="V147" s="12" t="n">
        <v>-0.0174404074587571</v>
      </c>
      <c r="W147" s="12" t="n">
        <v>-0.0204525945600373</v>
      </c>
      <c r="X147" s="12" t="n">
        <f aca="false">PRODUCT(V147:W147)</f>
        <v>0.000356701582715809</v>
      </c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</row>
    <row r="148" customFormat="false" ht="15" hidden="false" customHeight="false" outlineLevel="0" collapsed="false">
      <c r="T148" s="34"/>
      <c r="U148" s="35"/>
      <c r="V148" s="12" t="n">
        <v>-0.00532570994132797</v>
      </c>
      <c r="W148" s="12" t="n">
        <v>-0.00486105117769142</v>
      </c>
      <c r="X148" s="12" t="n">
        <f aca="false">PRODUCT(V148:W148)</f>
        <v>2.58885485823352E-005</v>
      </c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</row>
    <row r="149" customFormat="false" ht="15" hidden="false" customHeight="false" outlineLevel="0" collapsed="false">
      <c r="T149" s="34"/>
      <c r="U149" s="35"/>
      <c r="V149" s="12" t="n">
        <v>-0.0531890480298163</v>
      </c>
      <c r="W149" s="12" t="n">
        <v>-0.0547353984417978</v>
      </c>
      <c r="X149" s="12" t="n">
        <f aca="false">PRODUCT(V149:W149)</f>
        <v>0.00291132373665192</v>
      </c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</row>
    <row r="150" customFormat="false" ht="15" hidden="false" customHeight="false" outlineLevel="0" collapsed="false">
      <c r="T150" s="34"/>
      <c r="U150" s="35"/>
      <c r="V150" s="12" t="n">
        <v>-0.0154974411647899</v>
      </c>
      <c r="W150" s="12" t="n">
        <v>0.00370001424487398</v>
      </c>
      <c r="X150" s="12" t="n">
        <f aca="false">PRODUCT(V150:W150)</f>
        <v>-5.7340753068819E-005</v>
      </c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</row>
    <row r="151" customFormat="false" ht="15" hidden="false" customHeight="false" outlineLevel="0" collapsed="false">
      <c r="T151" s="34"/>
      <c r="U151" s="35"/>
      <c r="V151" s="12" t="n">
        <v>-0.00503625509816352</v>
      </c>
      <c r="W151" s="12" t="n">
        <v>0.0139810677216499</v>
      </c>
      <c r="X151" s="12" t="n">
        <f aca="false">PRODUCT(V151:W151)</f>
        <v>-7.04122235909287E-005</v>
      </c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</row>
    <row r="152" customFormat="false" ht="15" hidden="false" customHeight="false" outlineLevel="0" collapsed="false">
      <c r="T152" s="34"/>
      <c r="U152" s="35"/>
      <c r="V152" s="12" t="n">
        <v>-0.00466391940598321</v>
      </c>
      <c r="W152" s="12" t="n">
        <v>0.0116891668292016</v>
      </c>
      <c r="X152" s="12" t="n">
        <f aca="false">PRODUCT(V152:W152)</f>
        <v>-5.45173320144886E-005</v>
      </c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</row>
    <row r="153" customFormat="false" ht="15" hidden="false" customHeight="false" outlineLevel="0" collapsed="false">
      <c r="T153" s="34"/>
      <c r="U153" s="35"/>
      <c r="V153" s="12" t="n">
        <v>0.0131621225360554</v>
      </c>
      <c r="W153" s="12" t="n">
        <v>-0.0191718528169549</v>
      </c>
      <c r="X153" s="12" t="n">
        <f aca="false">PRODUCT(V153:W153)</f>
        <v>-0.000252342276019979</v>
      </c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</row>
    <row r="154" customFormat="false" ht="15" hidden="false" customHeight="false" outlineLevel="0" collapsed="false">
      <c r="T154" s="34"/>
      <c r="U154" s="35"/>
      <c r="V154" s="12" t="n">
        <v>0.00323106111335392</v>
      </c>
      <c r="W154" s="12" t="n">
        <v>0.00884031632294757</v>
      </c>
      <c r="X154" s="12" t="n">
        <f aca="false">PRODUCT(V154:W154)</f>
        <v>2.85636023008238E-005</v>
      </c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</row>
    <row r="155" customFormat="false" ht="15" hidden="false" customHeight="false" outlineLevel="0" collapsed="false">
      <c r="T155" s="34"/>
      <c r="U155" s="35"/>
      <c r="V155" s="12" t="n">
        <v>-0.0194594104873342</v>
      </c>
      <c r="W155" s="12" t="n">
        <v>-0.00665123850344251</v>
      </c>
      <c r="X155" s="12" t="n">
        <f aca="false">PRODUCT(V155:W155)</f>
        <v>0.00012942918028765</v>
      </c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</row>
    <row r="156" customFormat="false" ht="15" hidden="false" customHeight="false" outlineLevel="0" collapsed="false">
      <c r="T156" s="34"/>
      <c r="U156" s="35"/>
      <c r="V156" s="12" t="n">
        <v>0.0205758909575238</v>
      </c>
      <c r="W156" s="12" t="n">
        <v>-0.0355662761910942</v>
      </c>
      <c r="X156" s="12" t="n">
        <f aca="false">PRODUCT(V156:W156)</f>
        <v>-0.000731807820673129</v>
      </c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</row>
    <row r="157" customFormat="false" ht="15" hidden="false" customHeight="false" outlineLevel="0" collapsed="false">
      <c r="T157" s="34"/>
      <c r="U157" s="35"/>
      <c r="V157" s="12" t="n">
        <v>-0.0142882700912885</v>
      </c>
      <c r="W157" s="12" t="n">
        <v>-0.00755542964234834</v>
      </c>
      <c r="X157" s="12" t="n">
        <f aca="false">PRODUCT(V157:W157)</f>
        <v>0.0001079540193856</v>
      </c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</row>
    <row r="158" customFormat="false" ht="15" hidden="false" customHeight="false" outlineLevel="0" collapsed="false">
      <c r="T158" s="34"/>
      <c r="U158" s="35"/>
      <c r="V158" s="12" t="n">
        <v>0.0291843404542576</v>
      </c>
      <c r="W158" s="12" t="n">
        <v>0.0189202907574124</v>
      </c>
      <c r="X158" s="12" t="n">
        <f aca="false">PRODUCT(V158:W158)</f>
        <v>0.000552176206957867</v>
      </c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</row>
    <row r="159" customFormat="false" ht="15" hidden="false" customHeight="false" outlineLevel="0" collapsed="false">
      <c r="T159" s="34"/>
      <c r="U159" s="35"/>
      <c r="V159" s="12" t="n">
        <v>0.0114531647313392</v>
      </c>
      <c r="W159" s="12" t="n">
        <v>-0.00322414644134916</v>
      </c>
      <c r="X159" s="12" t="n">
        <f aca="false">PRODUCT(V159:W159)</f>
        <v>-3.6926680310733E-005</v>
      </c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</row>
    <row r="160" customFormat="false" ht="15" hidden="false" customHeight="false" outlineLevel="0" collapsed="false">
      <c r="T160" s="34"/>
      <c r="U160" s="35"/>
      <c r="V160" s="12" t="n">
        <v>-0.00262718373829607</v>
      </c>
      <c r="W160" s="12" t="n">
        <v>-0.0163826280142114</v>
      </c>
      <c r="X160" s="12" t="n">
        <f aca="false">PRODUCT(V160:W160)</f>
        <v>4.30401739094898E-005</v>
      </c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</row>
    <row r="161" customFormat="false" ht="15" hidden="false" customHeight="false" outlineLevel="0" collapsed="false">
      <c r="T161" s="34"/>
      <c r="U161" s="35"/>
      <c r="V161" s="12" t="n">
        <v>0.00143909419481503</v>
      </c>
      <c r="W161" s="12" t="n">
        <v>8.30905482125388E-005</v>
      </c>
      <c r="X161" s="12" t="n">
        <f aca="false">PRODUCT(V161:W161)</f>
        <v>1.19575125576663E-007</v>
      </c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</row>
    <row r="162" customFormat="false" ht="15" hidden="false" customHeight="false" outlineLevel="0" collapsed="false">
      <c r="T162" s="34"/>
      <c r="U162" s="35"/>
      <c r="V162" s="12" t="n">
        <v>-0.000335579478415227</v>
      </c>
      <c r="W162" s="12" t="n">
        <v>0.000705513872944152</v>
      </c>
      <c r="X162" s="12" t="n">
        <f aca="false">PRODUCT(V162:W162)</f>
        <v>-2.36755977497305E-007</v>
      </c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</row>
    <row r="163" customFormat="false" ht="15" hidden="false" customHeight="false" outlineLevel="0" collapsed="false">
      <c r="T163" s="34"/>
      <c r="U163" s="35"/>
      <c r="V163" s="12" t="n">
        <v>-0.0123151871599116</v>
      </c>
      <c r="W163" s="12" t="n">
        <v>-0.0385239364907335</v>
      </c>
      <c r="X163" s="12" t="n">
        <f aca="false">PRODUCT(V163:W163)</f>
        <v>0.000474429488019931</v>
      </c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</row>
    <row r="164" customFormat="false" ht="15" hidden="false" customHeight="false" outlineLevel="0" collapsed="false">
      <c r="T164" s="34"/>
      <c r="U164" s="35"/>
      <c r="V164" s="12" t="n">
        <v>-0.0212492147440653</v>
      </c>
      <c r="W164" s="12" t="n">
        <v>-0.0170775622471133</v>
      </c>
      <c r="X164" s="12" t="n">
        <f aca="false">PRODUCT(V164:W164)</f>
        <v>0.000362884787494053</v>
      </c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</row>
    <row r="165" customFormat="false" ht="15" hidden="false" customHeight="false" outlineLevel="0" collapsed="false">
      <c r="T165" s="34"/>
      <c r="U165" s="35"/>
      <c r="V165" s="12" t="n">
        <v>0.0025703446619616</v>
      </c>
      <c r="W165" s="12" t="n">
        <v>-0.0132364391233342</v>
      </c>
      <c r="X165" s="12" t="n">
        <f aca="false">PRODUCT(V165:W165)</f>
        <v>-3.40222106440417E-005</v>
      </c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</row>
    <row r="166" customFormat="false" ht="15" hidden="false" customHeight="false" outlineLevel="0" collapsed="false">
      <c r="T166" s="34"/>
      <c r="U166" s="35"/>
      <c r="V166" s="13" t="n">
        <f aca="false" t="array" ref="V166:V191">'Data Gathering and ect'!F32:F57</f>
        <v>0.013822271570092</v>
      </c>
      <c r="W166" s="13" t="n">
        <f aca="false" t="array" ref="W166:W191">'Data Gathering and ect'!F158:F183</f>
        <v>-0.023361829288616</v>
      </c>
      <c r="X166" s="13" t="n">
        <f aca="false">PRODUCT(V166:W166)</f>
        <v>-0.00032291354880138</v>
      </c>
      <c r="Y166" s="56" t="n">
        <f aca="false">SUM(V166:V191)</f>
        <v>-0.372564463964317</v>
      </c>
      <c r="Z166" s="56" t="n">
        <f aca="false">SUM(W166:W191)</f>
        <v>-0.291079031091748</v>
      </c>
      <c r="AA166" s="56" t="n">
        <f aca="false">SUM(X166:X191)</f>
        <v>0.0859724177220337</v>
      </c>
      <c r="AB166" s="56" t="n">
        <f aca="false">Y166*Z166</f>
        <v>0.10844570318995</v>
      </c>
      <c r="AC166" s="56" t="n">
        <f aca="false">COUNT(V166:V191)</f>
        <v>26</v>
      </c>
      <c r="AD166" s="56" t="n">
        <f aca="false" t="array" ref="AD166:AD166">SUM(POWER(V166:V191,2))</f>
        <v>0.124264859766193</v>
      </c>
      <c r="AE166" s="56" t="n">
        <f aca="false" t="array" ref="AE166:AE166">SUM(POWER(W166:W191,2))</f>
        <v>0.089643219554737</v>
      </c>
      <c r="AF166" s="56" t="n">
        <f aca="false">(AA166*AC166)-(AB166)</f>
        <v>2.12683715758293</v>
      </c>
      <c r="AG166" s="56" t="n">
        <f aca="false">(AC166*AD166)-(POWER(Y166,2))</f>
        <v>3.092082074112</v>
      </c>
      <c r="AH166" s="56" t="n">
        <f aca="false">(AC166*AE166)-(POWER(Z166,2))</f>
        <v>2.24599670608185</v>
      </c>
      <c r="AI166" s="56" t="n">
        <f aca="false">SQRT(AG166*AH166)</f>
        <v>2.63530001202715</v>
      </c>
      <c r="AJ166" s="56" t="n">
        <f aca="false">AF166 / AI166</f>
        <v>0.807056937683122</v>
      </c>
    </row>
    <row r="167" customFormat="false" ht="15" hidden="false" customHeight="false" outlineLevel="0" collapsed="false">
      <c r="T167" s="34"/>
      <c r="U167" s="35"/>
      <c r="V167" s="13" t="n">
        <v>0.0226829217835256</v>
      </c>
      <c r="W167" s="13" t="n">
        <v>0.0172900497344681</v>
      </c>
      <c r="X167" s="13" t="n">
        <f aca="false">PRODUCT(V167:W167)</f>
        <v>0.000392188845760208</v>
      </c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</row>
    <row r="168" customFormat="false" ht="15" hidden="false" customHeight="false" outlineLevel="0" collapsed="false">
      <c r="T168" s="34"/>
      <c r="U168" s="35"/>
      <c r="V168" s="13" t="n">
        <v>-0.0130559318290064</v>
      </c>
      <c r="W168" s="13" t="n">
        <v>-0.0371437596592941</v>
      </c>
      <c r="X168" s="13" t="n">
        <f aca="false">PRODUCT(V168:W168)</f>
        <v>0.000484946393984742</v>
      </c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</row>
    <row r="169" customFormat="false" ht="15" hidden="false" customHeight="false" outlineLevel="0" collapsed="false">
      <c r="T169" s="34"/>
      <c r="U169" s="35"/>
      <c r="V169" s="13" t="n">
        <v>0.00361222761554281</v>
      </c>
      <c r="W169" s="13" t="n">
        <v>0.0281537601797357</v>
      </c>
      <c r="X169" s="13" t="n">
        <f aca="false">PRODUCT(V169:W169)</f>
        <v>0.000101697790002611</v>
      </c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</row>
    <row r="170" customFormat="false" ht="15" hidden="false" customHeight="false" outlineLevel="0" collapsed="false">
      <c r="T170" s="34"/>
      <c r="U170" s="35"/>
      <c r="V170" s="13" t="n">
        <v>0.00459882254854982</v>
      </c>
      <c r="W170" s="13" t="n">
        <v>0.00507985634745367</v>
      </c>
      <c r="X170" s="13" t="n">
        <f aca="false">PRODUCT(V170:W170)</f>
        <v>2.33613579140639E-005</v>
      </c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</row>
    <row r="171" customFormat="false" ht="15" hidden="false" customHeight="false" outlineLevel="0" collapsed="false">
      <c r="T171" s="34"/>
      <c r="U171" s="35"/>
      <c r="V171" s="13" t="n">
        <v>-0.0148035597914546</v>
      </c>
      <c r="W171" s="13" t="n">
        <v>-0.0335655926492908</v>
      </c>
      <c r="X171" s="13" t="n">
        <f aca="false">PRODUCT(V171:W171)</f>
        <v>0.000496890257719385</v>
      </c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</row>
    <row r="172" customFormat="false" ht="15" hidden="false" customHeight="false" outlineLevel="0" collapsed="false">
      <c r="T172" s="34"/>
      <c r="U172" s="35"/>
      <c r="V172" s="13" t="n">
        <v>-0.0187925693350444</v>
      </c>
      <c r="W172" s="13" t="n">
        <v>0.0119882549233612</v>
      </c>
      <c r="X172" s="13" t="n">
        <f aca="false">PRODUCT(V172:W172)</f>
        <v>-0.000225290111853453</v>
      </c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</row>
    <row r="173" customFormat="false" ht="15" hidden="false" customHeight="false" outlineLevel="0" collapsed="false">
      <c r="T173" s="34"/>
      <c r="U173" s="35"/>
      <c r="V173" s="13" t="n">
        <v>-0.0183698540485633</v>
      </c>
      <c r="W173" s="13" t="n">
        <v>0.0261701880295817</v>
      </c>
      <c r="X173" s="13" t="n">
        <f aca="false">PRODUCT(V173:W173)</f>
        <v>-0.000480742534526874</v>
      </c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</row>
    <row r="174" customFormat="false" ht="15" hidden="false" customHeight="false" outlineLevel="0" collapsed="false">
      <c r="T174" s="34"/>
      <c r="U174" s="35"/>
      <c r="V174" s="13" t="n">
        <v>-0.0316855497869959</v>
      </c>
      <c r="W174" s="13" t="n">
        <v>-0.086624891430251</v>
      </c>
      <c r="X174" s="13" t="n">
        <f aca="false">PRODUCT(V174:W174)</f>
        <v>0.00274475731020633</v>
      </c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</row>
    <row r="175" customFormat="false" ht="15" hidden="false" customHeight="false" outlineLevel="0" collapsed="false">
      <c r="T175" s="34"/>
      <c r="U175" s="35"/>
      <c r="V175" s="13" t="n">
        <v>0.0503081111498069</v>
      </c>
      <c r="W175" s="13" t="n">
        <v>0.0513667456357858</v>
      </c>
      <c r="X175" s="13" t="n">
        <f aca="false">PRODUCT(V175:W175)</f>
        <v>0.00258416394884897</v>
      </c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</row>
    <row r="176" customFormat="false" ht="15" hidden="false" customHeight="false" outlineLevel="0" collapsed="false">
      <c r="T176" s="34"/>
      <c r="U176" s="35"/>
      <c r="V176" s="13" t="n">
        <v>-0.0271564689414774</v>
      </c>
      <c r="W176" s="13" t="n">
        <v>-0.0496645241573237</v>
      </c>
      <c r="X176" s="13" t="n">
        <f aca="false">PRODUCT(V176:W176)</f>
        <v>0.00134871310777162</v>
      </c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</row>
    <row r="177" customFormat="false" ht="15" hidden="false" customHeight="false" outlineLevel="0" collapsed="false">
      <c r="T177" s="34"/>
      <c r="U177" s="35"/>
      <c r="V177" s="13" t="n">
        <v>0.00408975097046316</v>
      </c>
      <c r="W177" s="13" t="n">
        <v>0.00562836665612387</v>
      </c>
      <c r="X177" s="13" t="n">
        <f aca="false">PRODUCT(V177:W177)</f>
        <v>2.30186179940051E-005</v>
      </c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</row>
    <row r="178" customFormat="false" ht="15" hidden="false" customHeight="false" outlineLevel="0" collapsed="false">
      <c r="T178" s="34"/>
      <c r="U178" s="35"/>
      <c r="V178" s="13" t="n">
        <v>-0.0822773106161368</v>
      </c>
      <c r="W178" s="13" t="n">
        <v>-0.0733491729754263</v>
      </c>
      <c r="X178" s="13" t="n">
        <f aca="false">PRODUCT(V178:W178)</f>
        <v>0.0060349726883359</v>
      </c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</row>
    <row r="179" customFormat="false" ht="15" hidden="false" customHeight="false" outlineLevel="0" collapsed="false">
      <c r="T179" s="34"/>
      <c r="U179" s="35"/>
      <c r="V179" s="13" t="n">
        <v>0.0141270036848233</v>
      </c>
      <c r="W179" s="13" t="n">
        <v>-0.0288392613724096</v>
      </c>
      <c r="X179" s="13" t="n">
        <f aca="false">PRODUCT(V179:W179)</f>
        <v>-0.000407412351675613</v>
      </c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</row>
    <row r="180" customFormat="false" ht="15" hidden="false" customHeight="false" outlineLevel="0" collapsed="false">
      <c r="T180" s="34"/>
      <c r="U180" s="35"/>
      <c r="V180" s="13" t="n">
        <v>-0.210501566281677</v>
      </c>
      <c r="W180" s="13" t="n">
        <v>-0.137582112305408</v>
      </c>
      <c r="X180" s="13" t="n">
        <f aca="false">PRODUCT(V180:W180)</f>
        <v>0.02896125013263</v>
      </c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</row>
    <row r="181" customFormat="false" ht="15" hidden="false" customHeight="false" outlineLevel="0" collapsed="false">
      <c r="T181" s="34"/>
      <c r="U181" s="35"/>
      <c r="V181" s="13" t="n">
        <v>-0.190191858595584</v>
      </c>
      <c r="W181" s="13" t="n">
        <v>-0.160490109664439</v>
      </c>
      <c r="X181" s="13" t="n">
        <f aca="false">PRODUCT(V181:W181)</f>
        <v>0.0305239122432888</v>
      </c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</row>
    <row r="182" customFormat="false" ht="15" hidden="false" customHeight="false" outlineLevel="0" collapsed="false">
      <c r="T182" s="34"/>
      <c r="U182" s="35"/>
      <c r="V182" s="13" t="n">
        <v>0.119322626148417</v>
      </c>
      <c r="W182" s="13" t="n">
        <v>0.0297539369524458</v>
      </c>
      <c r="X182" s="13" t="n">
        <f aca="false">PRODUCT(V182:W182)</f>
        <v>0.00355031789542026</v>
      </c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</row>
    <row r="183" customFormat="false" ht="15" hidden="false" customHeight="false" outlineLevel="0" collapsed="false">
      <c r="T183" s="34"/>
      <c r="U183" s="35"/>
      <c r="V183" s="13" t="n">
        <v>0.0153464645675871</v>
      </c>
      <c r="W183" s="13" t="n">
        <v>0.0363105150162877</v>
      </c>
      <c r="X183" s="13" t="n">
        <f aca="false">PRODUCT(V183:W183)</f>
        <v>0.000557238032128299</v>
      </c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</row>
    <row r="184" customFormat="false" ht="15" hidden="false" customHeight="false" outlineLevel="0" collapsed="false">
      <c r="T184" s="34"/>
      <c r="U184" s="35"/>
      <c r="V184" s="13" t="n">
        <v>0.00502953806093398</v>
      </c>
      <c r="W184" s="13" t="n">
        <v>0.0947155701478657</v>
      </c>
      <c r="X184" s="13" t="n">
        <f aca="false">PRODUCT(V184:W184)</f>
        <v>0.000476375565021753</v>
      </c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</row>
    <row r="185" customFormat="false" ht="15" hidden="false" customHeight="false" outlineLevel="0" collapsed="false">
      <c r="T185" s="34"/>
      <c r="U185" s="35"/>
      <c r="V185" s="13" t="n">
        <v>0.0431946019263032</v>
      </c>
      <c r="W185" s="13" t="n">
        <v>0.0674655061903415</v>
      </c>
      <c r="X185" s="13" t="n">
        <f aca="false">PRODUCT(V185:W185)</f>
        <v>0.00291414568364835</v>
      </c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</row>
    <row r="186" customFormat="false" ht="15" hidden="false" customHeight="false" outlineLevel="0" collapsed="false">
      <c r="T186" s="34"/>
      <c r="U186" s="35"/>
      <c r="V186" s="13" t="n">
        <v>-0.087473711696294</v>
      </c>
      <c r="W186" s="13" t="n">
        <v>-0.0483760468566938</v>
      </c>
      <c r="X186" s="13" t="n">
        <f aca="false">PRODUCT(V186:W186)</f>
        <v>0.00423163237574884</v>
      </c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</row>
    <row r="187" customFormat="false" ht="15" hidden="false" customHeight="false" outlineLevel="0" collapsed="false">
      <c r="T187" s="34"/>
      <c r="U187" s="35"/>
      <c r="V187" s="13" t="n">
        <v>0.0732795320897504</v>
      </c>
      <c r="W187" s="13" t="n">
        <v>0.036157954797277</v>
      </c>
      <c r="X187" s="13" t="n">
        <f aca="false">PRODUCT(V187:W187)</f>
        <v>0.0026496380088668</v>
      </c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</row>
    <row r="188" customFormat="false" ht="15" hidden="false" customHeight="false" outlineLevel="0" collapsed="false">
      <c r="T188" s="34"/>
      <c r="U188" s="35"/>
      <c r="V188" s="13" t="n">
        <v>0.00445633154097713</v>
      </c>
      <c r="W188" s="13" t="n">
        <v>-0.0200172877898392</v>
      </c>
      <c r="X188" s="13" t="n">
        <f aca="false">PRODUCT(V188:W188)</f>
        <v>-8.92036709426768E-005</v>
      </c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</row>
    <row r="189" customFormat="false" ht="15" hidden="false" customHeight="false" outlineLevel="0" collapsed="false">
      <c r="T189" s="34"/>
      <c r="U189" s="35"/>
      <c r="V189" s="13" t="n">
        <v>-0.0334567538607367</v>
      </c>
      <c r="W189" s="13" t="n">
        <v>0.0242544516808572</v>
      </c>
      <c r="X189" s="13" t="n">
        <f aca="false">PRODUCT(V189:W189)</f>
        <v>-0.000811475219913571</v>
      </c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</row>
    <row r="190" customFormat="false" ht="15" hidden="false" customHeight="false" outlineLevel="0" collapsed="false">
      <c r="T190" s="34"/>
      <c r="U190" s="35"/>
      <c r="V190" s="13" t="n">
        <v>-0.00804737261933042</v>
      </c>
      <c r="W190" s="13" t="n">
        <v>-0.0272588963599887</v>
      </c>
      <c r="X190" s="13" t="n">
        <f aca="false">PRODUCT(V190:W190)</f>
        <v>0.000219362496200539</v>
      </c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</row>
    <row r="191" customFormat="false" ht="15" hidden="false" customHeight="false" outlineLevel="0" collapsed="false">
      <c r="T191" s="34"/>
      <c r="U191" s="35"/>
      <c r="V191" s="13" t="n">
        <v>-0.010622160218789</v>
      </c>
      <c r="W191" s="13" t="n">
        <v>0.000859297125646918</v>
      </c>
      <c r="X191" s="13" t="n">
        <f aca="false">PRODUCT(V191:W191)</f>
        <v>-9.12759174416642E-006</v>
      </c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</row>
    <row r="192" customFormat="false" ht="15" hidden="false" customHeight="false" outlineLevel="0" collapsed="false">
      <c r="T192" s="34"/>
      <c r="U192" s="35" t="s">
        <v>26</v>
      </c>
      <c r="V192" s="12" t="n">
        <f aca="false" t="array" ref="V192:V212">'Data Gathering and ect'!F11:F31</f>
        <v>0.0100368413849186</v>
      </c>
      <c r="W192" s="12" t="n">
        <f aca="false" t="array" ref="W192:W212">'Data Gathering and ect'!F264:F284</f>
        <v>-0.00118608226195693</v>
      </c>
      <c r="X192" s="12" t="n">
        <f aca="false">PRODUCT(V192:W192)</f>
        <v>-1.19045195327272E-005</v>
      </c>
      <c r="Y192" s="43" t="n">
        <f aca="false">SUM(V192:V212)</f>
        <v>-0.0798562361055913</v>
      </c>
      <c r="Z192" s="43" t="n">
        <f aca="false">SUM(W192:W212)</f>
        <v>-0.0920906649431618</v>
      </c>
      <c r="AA192" s="43" t="n">
        <f aca="false">SUM(X192:X212)</f>
        <v>0.00146880812629241</v>
      </c>
      <c r="AB192" s="43" t="n">
        <f aca="false">Y192*Z192</f>
        <v>0.00735401388282203</v>
      </c>
      <c r="AC192" s="43" t="n">
        <f aca="false">COUNT(V192:V212)</f>
        <v>21</v>
      </c>
      <c r="AD192" s="43" t="n">
        <f aca="false" t="array" ref="AD192:AD192">SUM(POWER(V192:V212,2))</f>
        <v>0.00634129522044444</v>
      </c>
      <c r="AE192" s="43" t="n">
        <f aca="false" t="array" ref="AE192:AE192">SUM(POWER(W192:W212,2))</f>
        <v>0.0052664797019935</v>
      </c>
      <c r="AF192" s="43" t="n">
        <f aca="false">(AA192*AC192)-(AB192)</f>
        <v>0.0234909567693187</v>
      </c>
      <c r="AG192" s="43" t="n">
        <f aca="false">(AC192*AD192)-(POWER(Y192,2))</f>
        <v>0.126790181184381</v>
      </c>
      <c r="AH192" s="43" t="n">
        <f aca="false">(AC192*AE192)-(POWER(Z192,2))</f>
        <v>0.10211538317219</v>
      </c>
      <c r="AI192" s="43" t="n">
        <f aca="false">SQRT(AG192*AH192)</f>
        <v>0.113785886357291</v>
      </c>
      <c r="AJ192" s="43" t="n">
        <f aca="false">AF192 / AI192</f>
        <v>0.206448774284328</v>
      </c>
    </row>
    <row r="193" customFormat="false" ht="15" hidden="false" customHeight="false" outlineLevel="0" collapsed="false">
      <c r="T193" s="34"/>
      <c r="U193" s="35"/>
      <c r="V193" s="12" t="n">
        <v>-8.14693416675283E-005</v>
      </c>
      <c r="W193" s="12" t="n">
        <v>-0.0070748304198176</v>
      </c>
      <c r="X193" s="12" t="n">
        <f aca="false">PRODUCT(V193:W193)</f>
        <v>5.76381776711943E-007</v>
      </c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</row>
    <row r="194" customFormat="false" ht="15" hidden="false" customHeight="false" outlineLevel="0" collapsed="false">
      <c r="T194" s="34"/>
      <c r="U194" s="35"/>
      <c r="V194" s="12" t="n">
        <v>-0.0174404074587571</v>
      </c>
      <c r="W194" s="12" t="n">
        <v>-0.0178849923137285</v>
      </c>
      <c r="X194" s="12" t="n">
        <f aca="false">PRODUCT(V194:W194)</f>
        <v>0.000311921553348164</v>
      </c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</row>
    <row r="195" customFormat="false" ht="15" hidden="false" customHeight="false" outlineLevel="0" collapsed="false">
      <c r="T195" s="34"/>
      <c r="U195" s="35"/>
      <c r="V195" s="12" t="n">
        <v>-0.00532570994132797</v>
      </c>
      <c r="W195" s="12" t="n">
        <v>-0.0237559486668291</v>
      </c>
      <c r="X195" s="12" t="n">
        <f aca="false">PRODUCT(V195:W195)</f>
        <v>0.000126517291980609</v>
      </c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</row>
    <row r="196" customFormat="false" ht="15" hidden="false" customHeight="false" outlineLevel="0" collapsed="false">
      <c r="T196" s="34"/>
      <c r="U196" s="35"/>
      <c r="V196" s="12" t="n">
        <v>-0.0531890480298163</v>
      </c>
      <c r="W196" s="12" t="n">
        <v>-0.0134366753469051</v>
      </c>
      <c r="X196" s="12" t="n">
        <f aca="false">PRODUCT(V196:W196)</f>
        <v>0.000714683970387584</v>
      </c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</row>
    <row r="197" customFormat="false" ht="15" hidden="false" customHeight="false" outlineLevel="0" collapsed="false">
      <c r="T197" s="34"/>
      <c r="U197" s="35"/>
      <c r="V197" s="12" t="n">
        <v>-0.0154974411647899</v>
      </c>
      <c r="W197" s="12" t="n">
        <v>-0.0143906496789743</v>
      </c>
      <c r="X197" s="12" t="n">
        <f aca="false">PRODUCT(V197:W197)</f>
        <v>0.000223018246723007</v>
      </c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</row>
    <row r="198" customFormat="false" ht="15" hidden="false" customHeight="false" outlineLevel="0" collapsed="false">
      <c r="T198" s="34"/>
      <c r="U198" s="35"/>
      <c r="V198" s="12" t="n">
        <v>-0.00503625509816352</v>
      </c>
      <c r="W198" s="12" t="n">
        <v>0.0133219645627412</v>
      </c>
      <c r="X198" s="12" t="n">
        <f aca="false">PRODUCT(V198:W198)</f>
        <v>-6.70928119466591E-005</v>
      </c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</row>
    <row r="199" customFormat="false" ht="15" hidden="false" customHeight="false" outlineLevel="0" collapsed="false">
      <c r="T199" s="34"/>
      <c r="U199" s="35"/>
      <c r="V199" s="12" t="n">
        <v>-0.00466391940598321</v>
      </c>
      <c r="W199" s="12" t="n">
        <v>0.0210734575536815</v>
      </c>
      <c r="X199" s="12" t="n">
        <f aca="false">PRODUCT(V199:W199)</f>
        <v>-9.82849076357786E-005</v>
      </c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</row>
    <row r="200" customFormat="false" ht="15" hidden="false" customHeight="false" outlineLevel="0" collapsed="false">
      <c r="T200" s="34"/>
      <c r="U200" s="35"/>
      <c r="V200" s="12" t="n">
        <v>0.0131621225360554</v>
      </c>
      <c r="W200" s="12" t="n">
        <v>-0.0178708223779953</v>
      </c>
      <c r="X200" s="12" t="n">
        <f aca="false">PRODUCT(V200:W200)</f>
        <v>-0.000235217953959255</v>
      </c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</row>
    <row r="201" customFormat="false" ht="15" hidden="false" customHeight="false" outlineLevel="0" collapsed="false">
      <c r="T201" s="34"/>
      <c r="U201" s="35"/>
      <c r="V201" s="12" t="n">
        <v>0.00323106111335392</v>
      </c>
      <c r="W201" s="12" t="n">
        <v>0.0177845984914615</v>
      </c>
      <c r="X201" s="12" t="n">
        <f aca="false">PRODUCT(V201:W201)</f>
        <v>5.7463124602374E-005</v>
      </c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</row>
    <row r="202" customFormat="false" ht="15" hidden="false" customHeight="false" outlineLevel="0" collapsed="false">
      <c r="T202" s="34"/>
      <c r="U202" s="35"/>
      <c r="V202" s="12" t="n">
        <v>-0.0194594104873342</v>
      </c>
      <c r="W202" s="12" t="n">
        <v>-0.0216478748906477</v>
      </c>
      <c r="X202" s="12" t="n">
        <f aca="false">PRODUCT(V202:W202)</f>
        <v>0.000421254883675569</v>
      </c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</row>
    <row r="203" customFormat="false" ht="15" hidden="false" customHeight="false" outlineLevel="0" collapsed="false">
      <c r="T203" s="34"/>
      <c r="U203" s="35"/>
      <c r="V203" s="12" t="n">
        <v>0.0205758909575238</v>
      </c>
      <c r="W203" s="12" t="n">
        <v>-0.0286147853389247</v>
      </c>
      <c r="X203" s="12" t="n">
        <f aca="false">PRODUCT(V203:W203)</f>
        <v>-0.000588774702906665</v>
      </c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</row>
    <row r="204" customFormat="false" ht="15" hidden="false" customHeight="false" outlineLevel="0" collapsed="false">
      <c r="T204" s="34"/>
      <c r="U204" s="35"/>
      <c r="V204" s="12" t="n">
        <v>-0.0142882700912885</v>
      </c>
      <c r="W204" s="12" t="n">
        <v>-0.0218560027953805</v>
      </c>
      <c r="X204" s="12" t="n">
        <f aca="false">PRODUCT(V204:W204)</f>
        <v>0.000312284471056353</v>
      </c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</row>
    <row r="205" customFormat="false" ht="15" hidden="false" customHeight="false" outlineLevel="0" collapsed="false">
      <c r="T205" s="34"/>
      <c r="U205" s="35"/>
      <c r="V205" s="12" t="n">
        <v>0.0291843404542576</v>
      </c>
      <c r="W205" s="12" t="n">
        <v>0.0103262073457326</v>
      </c>
      <c r="X205" s="12" t="n">
        <f aca="false">PRODUCT(V205:W205)</f>
        <v>0.000301363550779116</v>
      </c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</row>
    <row r="206" customFormat="false" ht="15" hidden="false" customHeight="false" outlineLevel="0" collapsed="false">
      <c r="T206" s="34"/>
      <c r="U206" s="35"/>
      <c r="V206" s="12" t="n">
        <v>0.0114531647313392</v>
      </c>
      <c r="W206" s="12" t="n">
        <v>0.00257151131212385</v>
      </c>
      <c r="X206" s="12" t="n">
        <f aca="false">PRODUCT(V206:W206)</f>
        <v>2.94519426662567E-005</v>
      </c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</row>
    <row r="207" customFormat="false" ht="15" hidden="false" customHeight="false" outlineLevel="0" collapsed="false">
      <c r="T207" s="34"/>
      <c r="U207" s="35"/>
      <c r="V207" s="12" t="n">
        <v>-0.00262718373829607</v>
      </c>
      <c r="W207" s="12" t="n">
        <v>0.000836114988385539</v>
      </c>
      <c r="X207" s="12" t="n">
        <f aca="false">PRODUCT(V207:W207)</f>
        <v>-2.1966277008321E-006</v>
      </c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</row>
    <row r="208" customFormat="false" ht="15" hidden="false" customHeight="false" outlineLevel="0" collapsed="false">
      <c r="T208" s="34"/>
      <c r="U208" s="35"/>
      <c r="V208" s="12" t="n">
        <v>0.00143909419481503</v>
      </c>
      <c r="W208" s="12" t="n">
        <v>-0.0121397545506108</v>
      </c>
      <c r="X208" s="12" t="n">
        <f aca="false">PRODUCT(V208:W208)</f>
        <v>-1.74702503002633E-005</v>
      </c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</row>
    <row r="209" customFormat="false" ht="15" hidden="false" customHeight="false" outlineLevel="0" collapsed="false">
      <c r="T209" s="34"/>
      <c r="U209" s="35"/>
      <c r="V209" s="12" t="n">
        <v>-0.000335579478415227</v>
      </c>
      <c r="W209" s="12" t="n">
        <v>0.025391167046199</v>
      </c>
      <c r="X209" s="12" t="n">
        <f aca="false">PRODUCT(V209:W209)</f>
        <v>-8.52075459371736E-006</v>
      </c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</row>
    <row r="210" customFormat="false" ht="15" hidden="false" customHeight="false" outlineLevel="0" collapsed="false">
      <c r="T210" s="34"/>
      <c r="U210" s="35"/>
      <c r="V210" s="12" t="n">
        <v>-0.0123151871599116</v>
      </c>
      <c r="W210" s="12" t="n">
        <v>-0.00289730895093854</v>
      </c>
      <c r="X210" s="12" t="n">
        <f aca="false">PRODUCT(V210:W210)</f>
        <v>3.56809019908953E-005</v>
      </c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</row>
    <row r="211" customFormat="false" ht="15" hidden="false" customHeight="false" outlineLevel="0" collapsed="false">
      <c r="T211" s="34"/>
      <c r="U211" s="35"/>
      <c r="V211" s="12" t="n">
        <v>-0.0212492147440653</v>
      </c>
      <c r="W211" s="12" t="n">
        <v>0.00144002452907444</v>
      </c>
      <c r="X211" s="12" t="n">
        <f aca="false">PRODUCT(V211:W211)</f>
        <v>-3.05993904550243E-005</v>
      </c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</row>
    <row r="212" customFormat="false" ht="15" hidden="false" customHeight="false" outlineLevel="0" collapsed="false">
      <c r="T212" s="34"/>
      <c r="U212" s="35"/>
      <c r="V212" s="12" t="n">
        <v>0.0025703446619616</v>
      </c>
      <c r="W212" s="12" t="n">
        <v>-0.00207998317985236</v>
      </c>
      <c r="X212" s="12" t="n">
        <f aca="false">PRODUCT(V212:W212)</f>
        <v>-5.34627366330343E-006</v>
      </c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</row>
    <row r="213" customFormat="false" ht="15" hidden="false" customHeight="false" outlineLevel="0" collapsed="false">
      <c r="T213" s="34"/>
      <c r="U213" s="35"/>
      <c r="V213" s="13" t="n">
        <f aca="false" t="array" ref="V213:V238">'Data Gathering and ect'!F32:F57</f>
        <v>0.013822271570092</v>
      </c>
      <c r="W213" s="13" t="n">
        <f aca="false" t="array" ref="W213:W238">'Data Gathering and ect'!F285:F310</f>
        <v>-0.0309496997724894</v>
      </c>
      <c r="X213" s="13" t="n">
        <f aca="false">PRODUCT(V213:W213)</f>
        <v>-0.000427795155268163</v>
      </c>
      <c r="Y213" s="56" t="n">
        <f aca="false">SUM(V213:V238)</f>
        <v>-0.372564463964317</v>
      </c>
      <c r="Z213" s="56" t="n">
        <f aca="false">SUM(W213:W238)</f>
        <v>-0.12670417074293</v>
      </c>
      <c r="AA213" s="56" t="n">
        <f aca="false">SUM(X213:X238)</f>
        <v>0.079557870241486</v>
      </c>
      <c r="AB213" s="56" t="n">
        <f aca="false">Y213*Z213</f>
        <v>0.0472054714548831</v>
      </c>
      <c r="AC213" s="56" t="n">
        <f aca="false">COUNT(V213:V238)</f>
        <v>26</v>
      </c>
      <c r="AD213" s="56" t="n">
        <f aca="false" t="array" ref="AD213:AD213">SUM(POWER(V213:V238,2))</f>
        <v>0.124264859766193</v>
      </c>
      <c r="AE213" s="56" t="n">
        <f aca="false" t="array" ref="AE213:AE213">SUM(POWER(W213:W238,2))</f>
        <v>0.0672744582728849</v>
      </c>
      <c r="AF213" s="56" t="n">
        <f aca="false">(AA213*AC213)-(AB213)</f>
        <v>2.02129915482375</v>
      </c>
      <c r="AG213" s="56" t="n">
        <f aca="false">(AC213*AD213)-(POWER(Y213,2))</f>
        <v>3.092082074112</v>
      </c>
      <c r="AH213" s="56" t="n">
        <f aca="false">(AC213*AE213)-(POWER(Z213,2))</f>
        <v>1.73308196821135</v>
      </c>
      <c r="AI213" s="56" t="n">
        <f aca="false">SQRT(AG213*AH213)</f>
        <v>2.31491504960184</v>
      </c>
      <c r="AJ213" s="56" t="n">
        <f aca="false">AF213 / AI213</f>
        <v>0.873163425660659</v>
      </c>
    </row>
    <row r="214" customFormat="false" ht="15" hidden="false" customHeight="false" outlineLevel="0" collapsed="false">
      <c r="T214" s="34"/>
      <c r="U214" s="35"/>
      <c r="V214" s="13" t="n">
        <v>0.0226829217835256</v>
      </c>
      <c r="W214" s="13" t="n">
        <v>0.0170873116037891</v>
      </c>
      <c r="X214" s="13" t="n">
        <f aca="false">PRODUCT(V214:W214)</f>
        <v>0.000387590152599478</v>
      </c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</row>
    <row r="215" customFormat="false" ht="15" hidden="false" customHeight="false" outlineLevel="0" collapsed="false">
      <c r="T215" s="34"/>
      <c r="U215" s="35"/>
      <c r="V215" s="13" t="n">
        <v>-0.0130559318290064</v>
      </c>
      <c r="W215" s="13" t="n">
        <v>0.00532937018097535</v>
      </c>
      <c r="X215" s="13" t="n">
        <f aca="false">PRODUCT(V215:W215)</f>
        <v>-6.95798937743537E-005</v>
      </c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</row>
    <row r="216" customFormat="false" ht="15" hidden="false" customHeight="false" outlineLevel="0" collapsed="false">
      <c r="T216" s="34"/>
      <c r="U216" s="35"/>
      <c r="V216" s="13" t="n">
        <v>0.00361222761554281</v>
      </c>
      <c r="W216" s="13" t="n">
        <v>-0.00146193131466177</v>
      </c>
      <c r="X216" s="13" t="n">
        <f aca="false">PRODUCT(V216:W216)</f>
        <v>-5.28082866684805E-006</v>
      </c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</row>
    <row r="217" customFormat="false" ht="15" hidden="false" customHeight="false" outlineLevel="0" collapsed="false">
      <c r="T217" s="34"/>
      <c r="U217" s="35"/>
      <c r="V217" s="13" t="n">
        <v>0.00459882254854982</v>
      </c>
      <c r="W217" s="13" t="n">
        <v>0.0105056563841943</v>
      </c>
      <c r="X217" s="13" t="n">
        <f aca="false">PRODUCT(V217:W217)</f>
        <v>4.83136494669491E-005</v>
      </c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</row>
    <row r="218" customFormat="false" ht="15" hidden="false" customHeight="false" outlineLevel="0" collapsed="false">
      <c r="T218" s="34"/>
      <c r="U218" s="35"/>
      <c r="V218" s="13" t="n">
        <v>-0.0148035597914546</v>
      </c>
      <c r="W218" s="13" t="n">
        <v>0.005407805169094</v>
      </c>
      <c r="X218" s="13" t="n">
        <f aca="false">PRODUCT(V218:W218)</f>
        <v>-8.00547671612203E-005</v>
      </c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</row>
    <row r="219" customFormat="false" ht="15" hidden="false" customHeight="false" outlineLevel="0" collapsed="false">
      <c r="T219" s="34"/>
      <c r="U219" s="35"/>
      <c r="V219" s="13" t="n">
        <v>-0.0187925693350444</v>
      </c>
      <c r="W219" s="13" t="n">
        <v>0.00535953688294111</v>
      </c>
      <c r="X219" s="13" t="n">
        <f aca="false">PRODUCT(V219:W219)</f>
        <v>-0.000100719468476399</v>
      </c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</row>
    <row r="220" customFormat="false" ht="15" hidden="false" customHeight="false" outlineLevel="0" collapsed="false">
      <c r="T220" s="34"/>
      <c r="U220" s="35"/>
      <c r="V220" s="13" t="n">
        <v>-0.0183698540485633</v>
      </c>
      <c r="W220" s="13" t="n">
        <v>-0.0124556083581471</v>
      </c>
      <c r="X220" s="13" t="n">
        <f aca="false">PRODUCT(V220:W220)</f>
        <v>0.000228807707625227</v>
      </c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</row>
    <row r="221" customFormat="false" ht="15" hidden="false" customHeight="false" outlineLevel="0" collapsed="false">
      <c r="T221" s="34"/>
      <c r="U221" s="35"/>
      <c r="V221" s="13" t="n">
        <v>-0.0316855497869959</v>
      </c>
      <c r="W221" s="13" t="n">
        <v>-0.046037362921882</v>
      </c>
      <c r="X221" s="13" t="n">
        <f aca="false">PRODUCT(V221:W221)</f>
        <v>0.00145871915492329</v>
      </c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</row>
    <row r="222" customFormat="false" ht="15" hidden="false" customHeight="false" outlineLevel="0" collapsed="false">
      <c r="T222" s="34"/>
      <c r="U222" s="35"/>
      <c r="V222" s="13" t="n">
        <v>0.0503081111498069</v>
      </c>
      <c r="W222" s="13" t="n">
        <v>0.0186101548656223</v>
      </c>
      <c r="X222" s="13" t="n">
        <f aca="false">PRODUCT(V222:W222)</f>
        <v>0.000936241739494846</v>
      </c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</row>
    <row r="223" customFormat="false" ht="15" hidden="false" customHeight="false" outlineLevel="0" collapsed="false">
      <c r="T223" s="34"/>
      <c r="U223" s="35"/>
      <c r="V223" s="13" t="n">
        <v>-0.0271564689414774</v>
      </c>
      <c r="W223" s="13" t="n">
        <v>-0.0425251881278683</v>
      </c>
      <c r="X223" s="13" t="n">
        <f aca="false">PRODUCT(V223:W223)</f>
        <v>0.00115483395062494</v>
      </c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</row>
    <row r="224" customFormat="false" ht="15" hidden="false" customHeight="false" outlineLevel="0" collapsed="false">
      <c r="T224" s="34"/>
      <c r="U224" s="35"/>
      <c r="V224" s="13" t="n">
        <v>0.00408975097046316</v>
      </c>
      <c r="W224" s="13" t="n">
        <v>0.00312639980696439</v>
      </c>
      <c r="X224" s="13" t="n">
        <f aca="false">PRODUCT(V224:W224)</f>
        <v>1.27861966445885E-005</v>
      </c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</row>
    <row r="225" customFormat="false" ht="15" hidden="false" customHeight="false" outlineLevel="0" collapsed="false">
      <c r="T225" s="34"/>
      <c r="U225" s="35"/>
      <c r="V225" s="13" t="n">
        <v>-0.0822773106161368</v>
      </c>
      <c r="W225" s="13" t="n">
        <v>-0.0668515324706265</v>
      </c>
      <c r="X225" s="13" t="n">
        <f aca="false">PRODUCT(V225:W225)</f>
        <v>0.00550036430225049</v>
      </c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</row>
    <row r="226" customFormat="false" ht="15" hidden="false" customHeight="false" outlineLevel="0" collapsed="false">
      <c r="T226" s="34"/>
      <c r="U226" s="35"/>
      <c r="V226" s="13" t="n">
        <v>0.0141270036848233</v>
      </c>
      <c r="W226" s="13" t="n">
        <v>-0.015541417689751</v>
      </c>
      <c r="X226" s="13" t="n">
        <f aca="false">PRODUCT(V226:W226)</f>
        <v>-0.00021955366497049</v>
      </c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</row>
    <row r="227" customFormat="false" ht="15" hidden="false" customHeight="false" outlineLevel="0" collapsed="false">
      <c r="T227" s="34"/>
      <c r="U227" s="35"/>
      <c r="V227" s="13" t="n">
        <v>-0.210501566281677</v>
      </c>
      <c r="W227" s="13" t="n">
        <v>-0.113641990653887</v>
      </c>
      <c r="X227" s="13" t="n">
        <f aca="false">PRODUCT(V227:W227)</f>
        <v>0.0239218170280109</v>
      </c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</row>
    <row r="228" customFormat="false" ht="15" hidden="false" customHeight="false" outlineLevel="0" collapsed="false">
      <c r="T228" s="34"/>
      <c r="U228" s="35"/>
      <c r="V228" s="13" t="n">
        <v>-0.190191858595584</v>
      </c>
      <c r="W228" s="13" t="n">
        <v>-0.134926521936364</v>
      </c>
      <c r="X228" s="13" t="n">
        <f aca="false">PRODUCT(V228:W228)</f>
        <v>0.0256619259809149</v>
      </c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</row>
    <row r="229" customFormat="false" ht="15" hidden="false" customHeight="false" outlineLevel="0" collapsed="false">
      <c r="T229" s="34"/>
      <c r="U229" s="35"/>
      <c r="V229" s="13" t="n">
        <v>0.119322626148417</v>
      </c>
      <c r="W229" s="13" t="n">
        <v>0.126181836462973</v>
      </c>
      <c r="X229" s="13" t="n">
        <f aca="false">PRODUCT(V229:W229)</f>
        <v>0.015056348098992</v>
      </c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</row>
    <row r="230" customFormat="false" ht="15" hidden="false" customHeight="false" outlineLevel="0" collapsed="false">
      <c r="T230" s="34"/>
      <c r="U230" s="35"/>
      <c r="V230" s="13" t="n">
        <v>0.0153464645675871</v>
      </c>
      <c r="W230" s="13" t="n">
        <v>0.00983031114018562</v>
      </c>
      <c r="X230" s="13" t="n">
        <f aca="false">PRODUCT(V230:W230)</f>
        <v>0.000150860521601215</v>
      </c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</row>
    <row r="231" customFormat="false" ht="15" hidden="false" customHeight="false" outlineLevel="0" collapsed="false">
      <c r="T231" s="34"/>
      <c r="U231" s="35"/>
      <c r="V231" s="13" t="n">
        <v>0.00502953806093398</v>
      </c>
      <c r="W231" s="13" t="n">
        <v>0.02765673092855</v>
      </c>
      <c r="X231" s="13" t="n">
        <f aca="false">PRODUCT(V231:W231)</f>
        <v>0.000139100580846152</v>
      </c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</row>
    <row r="232" customFormat="false" ht="15" hidden="false" customHeight="false" outlineLevel="0" collapsed="false">
      <c r="T232" s="34"/>
      <c r="U232" s="35"/>
      <c r="V232" s="13" t="n">
        <v>0.0431946019263032</v>
      </c>
      <c r="W232" s="13" t="n">
        <v>0.0577018945838441</v>
      </c>
      <c r="X232" s="13" t="n">
        <f aca="false">PRODUCT(V232:W232)</f>
        <v>0.00249241036694266</v>
      </c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</row>
    <row r="233" customFormat="false" ht="15" hidden="false" customHeight="false" outlineLevel="0" collapsed="false">
      <c r="T233" s="34"/>
      <c r="U233" s="35"/>
      <c r="V233" s="13" t="n">
        <v>-0.087473711696294</v>
      </c>
      <c r="W233" s="13" t="n">
        <v>0.00441549451502432</v>
      </c>
      <c r="X233" s="13" t="n">
        <f aca="false">PRODUCT(V233:W233)</f>
        <v>-0.000386239694203805</v>
      </c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</row>
    <row r="234" customFormat="false" ht="15" hidden="false" customHeight="false" outlineLevel="0" collapsed="false">
      <c r="T234" s="34"/>
      <c r="U234" s="35"/>
      <c r="V234" s="13" t="n">
        <v>0.0732795320897504</v>
      </c>
      <c r="W234" s="13" t="n">
        <v>0.0547925509417428</v>
      </c>
      <c r="X234" s="13" t="n">
        <f aca="false">PRODUCT(V234:W234)</f>
        <v>0.00401517249501472</v>
      </c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</row>
    <row r="235" customFormat="false" ht="15" hidden="false" customHeight="false" outlineLevel="0" collapsed="false">
      <c r="T235" s="34"/>
      <c r="U235" s="35"/>
      <c r="V235" s="13" t="n">
        <v>0.00445633154097713</v>
      </c>
      <c r="W235" s="13" t="n">
        <v>-0.0379351995026553</v>
      </c>
      <c r="X235" s="13" t="n">
        <f aca="false">PRODUCT(V235:W235)</f>
        <v>-0.000169051826056943</v>
      </c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</row>
    <row r="236" customFormat="false" ht="15" hidden="false" customHeight="false" outlineLevel="0" collapsed="false">
      <c r="T236" s="34"/>
      <c r="U236" s="35"/>
      <c r="V236" s="13" t="n">
        <v>-0.0334567538607367</v>
      </c>
      <c r="W236" s="13" t="n">
        <v>-0.00655362034947515</v>
      </c>
      <c r="X236" s="13" t="n">
        <f aca="false">PRODUCT(V236:W236)</f>
        <v>0.000219262862929105</v>
      </c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</row>
    <row r="237" customFormat="false" ht="15" hidden="false" customHeight="false" outlineLevel="0" collapsed="false">
      <c r="T237" s="34"/>
      <c r="U237" s="35"/>
      <c r="V237" s="13" t="n">
        <v>-0.00804737261933042</v>
      </c>
      <c r="W237" s="13" t="n">
        <v>0.00613771145021413</v>
      </c>
      <c r="X237" s="13" t="n">
        <f aca="false">PRODUCT(V237:W237)</f>
        <v>-4.9392451069804E-005</v>
      </c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</row>
    <row r="238" customFormat="false" ht="15" hidden="false" customHeight="false" outlineLevel="0" collapsed="false">
      <c r="T238" s="34"/>
      <c r="U238" s="35"/>
      <c r="V238" s="13" t="n">
        <v>-0.010622160218789</v>
      </c>
      <c r="W238" s="13" t="n">
        <v>0.030033137438763</v>
      </c>
      <c r="X238" s="13" t="n">
        <f aca="false">PRODUCT(V238:W238)</f>
        <v>-0.000319016797747451</v>
      </c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</row>
    <row r="239" customFormat="false" ht="15" hidden="false" customHeight="false" outlineLevel="0" collapsed="false">
      <c r="T239" s="62" t="s">
        <v>1</v>
      </c>
      <c r="U239" s="35" t="s">
        <v>2</v>
      </c>
      <c r="V239" s="12" t="n">
        <f aca="false" t="array" ref="V239:V259">'Data Gathering and ect'!F74:F94</f>
        <v>-0.000286358642627604</v>
      </c>
      <c r="W239" s="12" t="n">
        <f aca="false" t="array" ref="W239:W259">'Data Gathering and ect'!F201:F221</f>
        <v>0.0264997946811612</v>
      </c>
      <c r="X239" s="12" t="n">
        <f aca="false">PRODUCT(V239:W239)</f>
        <v>-7.58844523480752E-006</v>
      </c>
      <c r="Y239" s="43" t="n">
        <f aca="false">SUM(V239:V259)</f>
        <v>0.0794021395412607</v>
      </c>
      <c r="Z239" s="43" t="n">
        <f aca="false">SUM(W239:W259)</f>
        <v>0.0557037353631662</v>
      </c>
      <c r="AA239" s="43" t="n">
        <f aca="false">SUM(X239:X259)</f>
        <v>0.00727664343672818</v>
      </c>
      <c r="AB239" s="43" t="n">
        <f aca="false">Y239*Z239</f>
        <v>0.00442299576827558</v>
      </c>
      <c r="AC239" s="43" t="n">
        <f aca="false">COUNT(V239:V259)</f>
        <v>21</v>
      </c>
      <c r="AD239" s="43" t="n">
        <f aca="false" t="array" ref="AD239:AD239">SUM(POWER(V239:V259,2))</f>
        <v>0.0376246639810753</v>
      </c>
      <c r="AE239" s="43" t="n">
        <f aca="false" t="array" ref="AE239:AE239">SUM(POWER(W239:W259,2))</f>
        <v>0.00923370961463981</v>
      </c>
      <c r="AF239" s="43" t="n">
        <f aca="false">(AA239*AC239)-(AB239)</f>
        <v>0.148386516403016</v>
      </c>
      <c r="AG239" s="43" t="n">
        <f aca="false">(AC239*AD239)-(POWER(Y239,2))</f>
        <v>0.783813243838851</v>
      </c>
      <c r="AH239" s="43" t="n">
        <f aca="false">(AC239*AE239)-(POWER(Z239,2))</f>
        <v>0.190804995774026</v>
      </c>
      <c r="AI239" s="43" t="n">
        <f aca="false">SQRT(AG239*AH239)</f>
        <v>0.386724039436777</v>
      </c>
      <c r="AJ239" s="43" t="n">
        <f aca="false">AF239 / AI239</f>
        <v>0.383701299301501</v>
      </c>
    </row>
    <row r="240" customFormat="false" ht="15" hidden="false" customHeight="false" outlineLevel="0" collapsed="false">
      <c r="T240" s="62"/>
      <c r="U240" s="35"/>
      <c r="V240" s="12" t="n">
        <v>0.0886129681522299</v>
      </c>
      <c r="W240" s="12" t="n">
        <v>0.0482845070700524</v>
      </c>
      <c r="X240" s="12" t="n">
        <f aca="false">PRODUCT(V240:W240)</f>
        <v>0.00427863348724467</v>
      </c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</row>
    <row r="241" customFormat="false" ht="15" hidden="false" customHeight="false" outlineLevel="0" collapsed="false">
      <c r="T241" s="62"/>
      <c r="U241" s="35"/>
      <c r="V241" s="12" t="n">
        <v>-0.031920716000073</v>
      </c>
      <c r="W241" s="12" t="n">
        <v>-0.0154548311049831</v>
      </c>
      <c r="X241" s="12" t="n">
        <f aca="false">PRODUCT(V241:W241)</f>
        <v>0.00049332927453126</v>
      </c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</row>
    <row r="242" customFormat="false" ht="15" hidden="false" customHeight="false" outlineLevel="0" collapsed="false">
      <c r="T242" s="62"/>
      <c r="U242" s="35"/>
      <c r="V242" s="12" t="n">
        <v>0.028864219000841</v>
      </c>
      <c r="W242" s="12" t="n">
        <v>0.00695980318127987</v>
      </c>
      <c r="X242" s="12" t="n">
        <f aca="false">PRODUCT(V242:W242)</f>
        <v>0.000200889283227212</v>
      </c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</row>
    <row r="243" customFormat="false" ht="15" hidden="false" customHeight="false" outlineLevel="0" collapsed="false">
      <c r="T243" s="62"/>
      <c r="U243" s="35"/>
      <c r="V243" s="12" t="n">
        <v>0.00624475610456798</v>
      </c>
      <c r="W243" s="12" t="n">
        <v>-0.00527876259449478</v>
      </c>
      <c r="X243" s="12" t="n">
        <f aca="false">PRODUCT(V243:W243)</f>
        <v>-3.29645849365364E-005</v>
      </c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</row>
    <row r="244" customFormat="false" ht="15" hidden="false" customHeight="false" outlineLevel="0" collapsed="false">
      <c r="T244" s="62"/>
      <c r="U244" s="35"/>
      <c r="V244" s="12" t="n">
        <v>-0.0124703762064406</v>
      </c>
      <c r="W244" s="12" t="n">
        <v>-0.0398357218478322</v>
      </c>
      <c r="X244" s="12" t="n">
        <f aca="false">PRODUCT(V244:W244)</f>
        <v>0.000496766437897593</v>
      </c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</row>
    <row r="245" customFormat="false" ht="15" hidden="false" customHeight="false" outlineLevel="0" collapsed="false">
      <c r="T245" s="62"/>
      <c r="U245" s="35"/>
      <c r="V245" s="12" t="n">
        <v>0.00282911583851941</v>
      </c>
      <c r="W245" s="12" t="n">
        <v>0.0265265483567836</v>
      </c>
      <c r="X245" s="12" t="n">
        <f aca="false">PRODUCT(V245:W245)</f>
        <v>7.50466780974275E-005</v>
      </c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</row>
    <row r="246" customFormat="false" ht="15" hidden="false" customHeight="false" outlineLevel="0" collapsed="false">
      <c r="T246" s="62"/>
      <c r="U246" s="35"/>
      <c r="V246" s="12" t="n">
        <v>0.0216272062325444</v>
      </c>
      <c r="W246" s="12" t="n">
        <v>0.00336575555414598</v>
      </c>
      <c r="X246" s="12" t="n">
        <f aca="false">PRODUCT(V246:W246)</f>
        <v>7.27918894978469E-005</v>
      </c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</row>
    <row r="247" customFormat="false" ht="15" hidden="false" customHeight="false" outlineLevel="0" collapsed="false">
      <c r="T247" s="62"/>
      <c r="U247" s="35"/>
      <c r="V247" s="12" t="n">
        <v>0.116447817978472</v>
      </c>
      <c r="W247" s="12" t="n">
        <v>-0.0160060600042264</v>
      </c>
      <c r="X247" s="12" t="n">
        <f aca="false">PRODUCT(V247:W247)</f>
        <v>-0.00186387076192466</v>
      </c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</row>
    <row r="248" customFormat="false" ht="15" hidden="false" customHeight="false" outlineLevel="0" collapsed="false">
      <c r="T248" s="62"/>
      <c r="U248" s="35"/>
      <c r="V248" s="12" t="n">
        <v>0.0341490725846221</v>
      </c>
      <c r="W248" s="12" t="n">
        <v>0.0156459847118668</v>
      </c>
      <c r="X248" s="12" t="n">
        <f aca="false">PRODUCT(V248:W248)</f>
        <v>0.000534295867583427</v>
      </c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</row>
    <row r="249" customFormat="false" ht="15" hidden="false" customHeight="false" outlineLevel="0" collapsed="false">
      <c r="T249" s="62"/>
      <c r="U249" s="35"/>
      <c r="V249" s="12" t="n">
        <v>-0.0228233473750326</v>
      </c>
      <c r="W249" s="12" t="n">
        <v>-0.0254434591703268</v>
      </c>
      <c r="X249" s="12" t="n">
        <f aca="false">PRODUCT(V249:W249)</f>
        <v>0.000580704907066827</v>
      </c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</row>
    <row r="250" customFormat="false" ht="15" hidden="false" customHeight="false" outlineLevel="0" collapsed="false">
      <c r="T250" s="62"/>
      <c r="U250" s="35"/>
      <c r="V250" s="12" t="n">
        <v>-0.0443424840431756</v>
      </c>
      <c r="W250" s="12" t="n">
        <v>0.00945376707201984</v>
      </c>
      <c r="X250" s="12" t="n">
        <f aca="false">PRODUCT(V250:W250)</f>
        <v>-0.000419203515538939</v>
      </c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</row>
    <row r="251" customFormat="false" ht="15" hidden="false" customHeight="false" outlineLevel="0" collapsed="false">
      <c r="T251" s="62"/>
      <c r="U251" s="35"/>
      <c r="V251" s="12" t="n">
        <v>-0.014073186380255</v>
      </c>
      <c r="W251" s="12" t="n">
        <v>0.00113046333323208</v>
      </c>
      <c r="X251" s="12" t="n">
        <f aca="false">PRODUCT(V251:W251)</f>
        <v>-1.59092211846194E-005</v>
      </c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</row>
    <row r="252" customFormat="false" ht="15" hidden="false" customHeight="false" outlineLevel="0" collapsed="false">
      <c r="T252" s="62"/>
      <c r="U252" s="35"/>
      <c r="V252" s="12" t="n">
        <v>0.0372144380073269</v>
      </c>
      <c r="W252" s="12" t="n">
        <v>0.0085917435067806</v>
      </c>
      <c r="X252" s="12" t="n">
        <f aca="false">PRODUCT(V252:W252)</f>
        <v>0.00031973690610794</v>
      </c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</row>
    <row r="253" customFormat="false" ht="15" hidden="false" customHeight="false" outlineLevel="0" collapsed="false">
      <c r="T253" s="62"/>
      <c r="U253" s="35"/>
      <c r="V253" s="12" t="n">
        <v>-0.0299717608209775</v>
      </c>
      <c r="W253" s="12" t="n">
        <v>0.0109709681855401</v>
      </c>
      <c r="X253" s="12" t="n">
        <f aca="false">PRODUCT(V253:W253)</f>
        <v>-0.000328819234431561</v>
      </c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</row>
    <row r="254" customFormat="false" ht="15" hidden="false" customHeight="false" outlineLevel="0" collapsed="false">
      <c r="T254" s="62"/>
      <c r="U254" s="35"/>
      <c r="V254" s="12" t="n">
        <v>0.0333294633804524</v>
      </c>
      <c r="W254" s="12" t="n">
        <v>0.0191127508116731</v>
      </c>
      <c r="X254" s="12" t="n">
        <f aca="false">PRODUCT(V254:W254)</f>
        <v>0.000637017728277371</v>
      </c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</row>
    <row r="255" customFormat="false" ht="15" hidden="false" customHeight="false" outlineLevel="0" collapsed="false">
      <c r="T255" s="62"/>
      <c r="U255" s="35"/>
      <c r="V255" s="12" t="n">
        <v>0.000791283978168522</v>
      </c>
      <c r="W255" s="12" t="n">
        <v>0.0219286346064775</v>
      </c>
      <c r="X255" s="12" t="n">
        <f aca="false">PRODUCT(V255:W255)</f>
        <v>1.73517772272174E-005</v>
      </c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</row>
    <row r="256" customFormat="false" ht="15" hidden="false" customHeight="false" outlineLevel="0" collapsed="false">
      <c r="T256" s="62"/>
      <c r="U256" s="35"/>
      <c r="V256" s="12" t="n">
        <v>-0.0135355302841944</v>
      </c>
      <c r="W256" s="12" t="n">
        <v>0.0146698101838458</v>
      </c>
      <c r="X256" s="12" t="n">
        <f aca="false">PRODUCT(V256:W256)</f>
        <v>-0.000198563660006828</v>
      </c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</row>
    <row r="257" customFormat="false" ht="15" hidden="false" customHeight="false" outlineLevel="0" collapsed="false">
      <c r="T257" s="62"/>
      <c r="U257" s="35"/>
      <c r="V257" s="12" t="n">
        <v>-0.0393069847338516</v>
      </c>
      <c r="W257" s="12" t="n">
        <v>-0.013393519068357</v>
      </c>
      <c r="X257" s="12" t="n">
        <f aca="false">PRODUCT(V257:W257)</f>
        <v>0.000526458849552459</v>
      </c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</row>
    <row r="258" customFormat="false" ht="15" hidden="false" customHeight="false" outlineLevel="0" collapsed="false">
      <c r="T258" s="62"/>
      <c r="U258" s="35"/>
      <c r="V258" s="12" t="n">
        <v>-0.0670216961664512</v>
      </c>
      <c r="W258" s="12" t="n">
        <v>-0.0246232446655386</v>
      </c>
      <c r="X258" s="12" t="n">
        <f aca="false">PRODUCT(V258:W258)</f>
        <v>0.00165029162260592</v>
      </c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</row>
    <row r="259" customFormat="false" ht="15" hidden="false" customHeight="false" outlineLevel="0" collapsed="false">
      <c r="T259" s="62"/>
      <c r="U259" s="35"/>
      <c r="V259" s="12" t="n">
        <v>-0.0149557610634048</v>
      </c>
      <c r="W259" s="12" t="n">
        <v>-0.0174011974359338</v>
      </c>
      <c r="X259" s="12" t="n">
        <f aca="false">PRODUCT(V259:W259)</f>
        <v>0.000260248151068958</v>
      </c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</row>
    <row r="260" customFormat="false" ht="15" hidden="false" customHeight="false" outlineLevel="0" collapsed="false">
      <c r="T260" s="62"/>
      <c r="U260" s="35"/>
      <c r="V260" s="13" t="n">
        <f aca="false" t="array" ref="V260:V285">'Data Gathering and ect'!F95:F120</f>
        <v>-0.0689425876158651</v>
      </c>
      <c r="W260" s="13" t="n">
        <f aca="false" t="array" ref="W260:W285">'Data Gathering and ect'!F222:F247</f>
        <v>0.0176572834822446</v>
      </c>
      <c r="X260" s="13" t="n">
        <f aca="false">PRODUCT(V260:W260)</f>
        <v>-0.00121733881353282</v>
      </c>
      <c r="Y260" s="56" t="n">
        <f aca="false">SUM(V260:V285)</f>
        <v>-0.61308183766856</v>
      </c>
      <c r="Z260" s="56" t="n">
        <f aca="false">SUM(W260:W285)</f>
        <v>-0.44826742573188</v>
      </c>
      <c r="AA260" s="56" t="n">
        <f aca="false">SUM(X260:X285)</f>
        <v>0.0979618759205728</v>
      </c>
      <c r="AB260" s="56" t="n">
        <f aca="false">Y260*Z260</f>
        <v>0.274824617134656</v>
      </c>
      <c r="AC260" s="57" t="n">
        <f aca="false">COUNT(V260:V285)</f>
        <v>26</v>
      </c>
      <c r="AD260" s="56" t="n">
        <f aca="false" t="array" ref="AD260:AD260">SUM(POWER(V260:V285,2))</f>
        <v>0.179084733445403</v>
      </c>
      <c r="AE260" s="56" t="n">
        <f aca="false" t="array" ref="AE260:AE260">SUM(POWER(W260:W285,2))</f>
        <v>0.0815875416697642</v>
      </c>
      <c r="AF260" s="56" t="n">
        <f aca="false">(AA260*AC260)-(AB260)</f>
        <v>2.27218415680024</v>
      </c>
      <c r="AG260" s="56" t="n">
        <f aca="false">(AC260*AD260)-(POWER(Y260,2))</f>
        <v>4.28033372990141</v>
      </c>
      <c r="AH260" s="56" t="n">
        <f aca="false">(AC260*AE260)-(POWER(Z260,2))</f>
        <v>1.92033239844158</v>
      </c>
      <c r="AI260" s="56" t="n">
        <f aca="false">SQRT(AG260*AH260)</f>
        <v>2.86699555940918</v>
      </c>
      <c r="AJ260" s="56" t="n">
        <f aca="false">AF260 / AI260</f>
        <v>0.792531453124565</v>
      </c>
    </row>
    <row r="261" customFormat="false" ht="15" hidden="false" customHeight="false" outlineLevel="0" collapsed="false">
      <c r="T261" s="62"/>
      <c r="U261" s="35"/>
      <c r="V261" s="13" t="n">
        <v>0.000525301944326984</v>
      </c>
      <c r="W261" s="13" t="n">
        <v>0.0151202791694018</v>
      </c>
      <c r="X261" s="13" t="n">
        <f aca="false">PRODUCT(V261:W261)</f>
        <v>7.94271204645356E-006</v>
      </c>
      <c r="Y261" s="56"/>
      <c r="Z261" s="56"/>
      <c r="AA261" s="56"/>
      <c r="AB261" s="56"/>
      <c r="AC261" s="57"/>
      <c r="AD261" s="56"/>
      <c r="AE261" s="56"/>
      <c r="AF261" s="56"/>
      <c r="AG261" s="56"/>
      <c r="AH261" s="56"/>
      <c r="AI261" s="56"/>
      <c r="AJ261" s="56"/>
    </row>
    <row r="262" customFormat="false" ht="15" hidden="false" customHeight="false" outlineLevel="0" collapsed="false">
      <c r="T262" s="62"/>
      <c r="U262" s="35"/>
      <c r="V262" s="13" t="n">
        <v>0.00864171857069351</v>
      </c>
      <c r="W262" s="13" t="n">
        <v>-0.0320394270617079</v>
      </c>
      <c r="X262" s="13" t="n">
        <f aca="false">PRODUCT(V262:W262)</f>
        <v>-0.000276875711833541</v>
      </c>
      <c r="Y262" s="56"/>
      <c r="Z262" s="56"/>
      <c r="AA262" s="56"/>
      <c r="AB262" s="56"/>
      <c r="AC262" s="57"/>
      <c r="AD262" s="56"/>
      <c r="AE262" s="56"/>
      <c r="AF262" s="56"/>
      <c r="AG262" s="56"/>
      <c r="AH262" s="56"/>
      <c r="AI262" s="56"/>
      <c r="AJ262" s="56"/>
    </row>
    <row r="263" customFormat="false" ht="15" hidden="false" customHeight="false" outlineLevel="0" collapsed="false">
      <c r="T263" s="62"/>
      <c r="U263" s="35"/>
      <c r="V263" s="13" t="n">
        <v>0.0644714611014319</v>
      </c>
      <c r="W263" s="13" t="n">
        <v>0.0110554404973255</v>
      </c>
      <c r="X263" s="13" t="n">
        <f aca="false">PRODUCT(V263:W263)</f>
        <v>0.000712760401982516</v>
      </c>
      <c r="Y263" s="56"/>
      <c r="Z263" s="56"/>
      <c r="AA263" s="56"/>
      <c r="AB263" s="56"/>
      <c r="AC263" s="57"/>
      <c r="AD263" s="56"/>
      <c r="AE263" s="56"/>
      <c r="AF263" s="56"/>
      <c r="AG263" s="56"/>
      <c r="AH263" s="56"/>
      <c r="AI263" s="56"/>
      <c r="AJ263" s="56"/>
    </row>
    <row r="264" customFormat="false" ht="15" hidden="false" customHeight="false" outlineLevel="0" collapsed="false">
      <c r="T264" s="62"/>
      <c r="U264" s="35"/>
      <c r="V264" s="13" t="n">
        <v>-0.00884026724462572</v>
      </c>
      <c r="W264" s="13" t="n">
        <v>-0.0103395354434825</v>
      </c>
      <c r="X264" s="13" t="n">
        <f aca="false">PRODUCT(V264:W264)</f>
        <v>9.1404256505665E-005</v>
      </c>
      <c r="Y264" s="56"/>
      <c r="Z264" s="56"/>
      <c r="AA264" s="56"/>
      <c r="AB264" s="56"/>
      <c r="AC264" s="57"/>
      <c r="AD264" s="56"/>
      <c r="AE264" s="56"/>
      <c r="AF264" s="56"/>
      <c r="AG264" s="56"/>
      <c r="AH264" s="56"/>
      <c r="AI264" s="56"/>
      <c r="AJ264" s="56"/>
    </row>
    <row r="265" customFormat="false" ht="15" hidden="false" customHeight="false" outlineLevel="0" collapsed="false">
      <c r="T265" s="62"/>
      <c r="U265" s="35"/>
      <c r="V265" s="13" t="n">
        <v>0.0107736465310566</v>
      </c>
      <c r="W265" s="13" t="n">
        <v>-0.00923753845455</v>
      </c>
      <c r="X265" s="13" t="n">
        <f aca="false">PRODUCT(V265:W265)</f>
        <v>-9.95219741263645E-005</v>
      </c>
      <c r="Y265" s="56"/>
      <c r="Z265" s="56"/>
      <c r="AA265" s="56"/>
      <c r="AB265" s="56"/>
      <c r="AC265" s="57"/>
      <c r="AD265" s="56"/>
      <c r="AE265" s="56"/>
      <c r="AF265" s="56"/>
      <c r="AG265" s="56"/>
      <c r="AH265" s="56"/>
      <c r="AI265" s="56"/>
      <c r="AJ265" s="56"/>
    </row>
    <row r="266" customFormat="false" ht="15" hidden="false" customHeight="false" outlineLevel="0" collapsed="false">
      <c r="T266" s="62"/>
      <c r="U266" s="35"/>
      <c r="V266" s="13" t="n">
        <v>0.00441691993237292</v>
      </c>
      <c r="W266" s="13" t="n">
        <v>0.0105541158690246</v>
      </c>
      <c r="X266" s="13" t="n">
        <f aca="false">PRODUCT(V266:W266)</f>
        <v>4.66166847504681E-005</v>
      </c>
      <c r="Y266" s="56"/>
      <c r="Z266" s="56"/>
      <c r="AA266" s="56"/>
      <c r="AB266" s="56"/>
      <c r="AC266" s="57"/>
      <c r="AD266" s="56"/>
      <c r="AE266" s="56"/>
      <c r="AF266" s="56"/>
      <c r="AG266" s="56"/>
      <c r="AH266" s="56"/>
      <c r="AI266" s="56"/>
      <c r="AJ266" s="56"/>
    </row>
    <row r="267" customFormat="false" ht="15" hidden="false" customHeight="false" outlineLevel="0" collapsed="false">
      <c r="T267" s="62"/>
      <c r="U267" s="35"/>
      <c r="V267" s="13" t="n">
        <v>-0.0217663815648557</v>
      </c>
      <c r="W267" s="13" t="n">
        <v>-0.0199827280870473</v>
      </c>
      <c r="X267" s="13" t="n">
        <f aca="false">PRODUCT(V267:W267)</f>
        <v>0.000434951684249431</v>
      </c>
      <c r="Y267" s="56"/>
      <c r="Z267" s="56"/>
      <c r="AA267" s="56"/>
      <c r="AB267" s="56"/>
      <c r="AC267" s="57"/>
      <c r="AD267" s="56"/>
      <c r="AE267" s="56"/>
      <c r="AF267" s="56"/>
      <c r="AG267" s="56"/>
      <c r="AH267" s="56"/>
      <c r="AI267" s="56"/>
      <c r="AJ267" s="56"/>
    </row>
    <row r="268" customFormat="false" ht="15" hidden="false" customHeight="false" outlineLevel="0" collapsed="false">
      <c r="T268" s="62"/>
      <c r="U268" s="35"/>
      <c r="V268" s="13" t="n">
        <v>-0.0390198846963248</v>
      </c>
      <c r="W268" s="13" t="n">
        <v>-0.0483447743265382</v>
      </c>
      <c r="X268" s="13" t="n">
        <f aca="false">PRODUCT(V268:W268)</f>
        <v>0.00188640751989136</v>
      </c>
      <c r="Y268" s="56"/>
      <c r="Z268" s="56"/>
      <c r="AA268" s="56"/>
      <c r="AB268" s="56"/>
      <c r="AC268" s="57"/>
      <c r="AD268" s="56"/>
      <c r="AE268" s="56"/>
      <c r="AF268" s="56"/>
      <c r="AG268" s="56"/>
      <c r="AH268" s="56"/>
      <c r="AI268" s="56"/>
      <c r="AJ268" s="56"/>
    </row>
    <row r="269" customFormat="false" ht="15" hidden="false" customHeight="false" outlineLevel="0" collapsed="false">
      <c r="T269" s="62"/>
      <c r="U269" s="35"/>
      <c r="V269" s="13" t="n">
        <v>-0.0371937628734642</v>
      </c>
      <c r="W269" s="13" t="n">
        <v>0.037637903122504</v>
      </c>
      <c r="X269" s="13" t="n">
        <f aca="false">PRODUCT(V269:W269)</f>
        <v>-0.00139989524379283</v>
      </c>
      <c r="Y269" s="56"/>
      <c r="Z269" s="56"/>
      <c r="AA269" s="56"/>
      <c r="AB269" s="56"/>
      <c r="AC269" s="57"/>
      <c r="AD269" s="56"/>
      <c r="AE269" s="56"/>
      <c r="AF269" s="56"/>
      <c r="AG269" s="56"/>
      <c r="AH269" s="56"/>
      <c r="AI269" s="56"/>
      <c r="AJ269" s="56"/>
    </row>
    <row r="270" customFormat="false" ht="15" hidden="false" customHeight="false" outlineLevel="0" collapsed="false">
      <c r="T270" s="62"/>
      <c r="U270" s="35"/>
      <c r="V270" s="13" t="n">
        <v>-0.0449913194219143</v>
      </c>
      <c r="W270" s="13" t="n">
        <v>-0.0295428902699211</v>
      </c>
      <c r="X270" s="13" t="n">
        <f aca="false">PRODUCT(V270:W270)</f>
        <v>0.00132917361278058</v>
      </c>
      <c r="Y270" s="56"/>
      <c r="Z270" s="56"/>
      <c r="AA270" s="56"/>
      <c r="AB270" s="56"/>
      <c r="AC270" s="57"/>
      <c r="AD270" s="56"/>
      <c r="AE270" s="56"/>
      <c r="AF270" s="56"/>
      <c r="AG270" s="56"/>
      <c r="AH270" s="56"/>
      <c r="AI270" s="56"/>
      <c r="AJ270" s="56"/>
    </row>
    <row r="271" customFormat="false" ht="15" hidden="false" customHeight="false" outlineLevel="0" collapsed="false">
      <c r="T271" s="62"/>
      <c r="U271" s="35"/>
      <c r="V271" s="13" t="n">
        <v>0.00399561099786183</v>
      </c>
      <c r="W271" s="13" t="n">
        <v>-1.72519386865133E-005</v>
      </c>
      <c r="X271" s="13" t="n">
        <f aca="false">PRODUCT(V271:W271)</f>
        <v>-6.89320359502705E-008</v>
      </c>
      <c r="Y271" s="56"/>
      <c r="Z271" s="56"/>
      <c r="AA271" s="56"/>
      <c r="AB271" s="56"/>
      <c r="AC271" s="57"/>
      <c r="AD271" s="56"/>
      <c r="AE271" s="56"/>
      <c r="AF271" s="56"/>
      <c r="AG271" s="56"/>
      <c r="AH271" s="56"/>
      <c r="AI271" s="56"/>
      <c r="AJ271" s="56"/>
    </row>
    <row r="272" customFormat="false" ht="15" hidden="false" customHeight="false" outlineLevel="0" collapsed="false">
      <c r="T272" s="62"/>
      <c r="U272" s="35"/>
      <c r="V272" s="13" t="n">
        <v>-0.0939446476819228</v>
      </c>
      <c r="W272" s="13" t="n">
        <v>-0.079523842008574</v>
      </c>
      <c r="X272" s="13" t="n">
        <f aca="false">PRODUCT(V272:W272)</f>
        <v>0.00747083931980838</v>
      </c>
      <c r="Y272" s="56"/>
      <c r="Z272" s="56"/>
      <c r="AA272" s="56"/>
      <c r="AB272" s="56"/>
      <c r="AC272" s="57"/>
      <c r="AD272" s="56"/>
      <c r="AE272" s="56"/>
      <c r="AF272" s="56"/>
      <c r="AG272" s="56"/>
      <c r="AH272" s="56"/>
      <c r="AI272" s="56"/>
      <c r="AJ272" s="56"/>
    </row>
    <row r="273" customFormat="false" ht="15" hidden="false" customHeight="false" outlineLevel="0" collapsed="false">
      <c r="T273" s="62"/>
      <c r="U273" s="35"/>
      <c r="V273" s="13" t="n">
        <v>-0.0266611252950337</v>
      </c>
      <c r="W273" s="13" t="n">
        <v>-0.0060957899347045</v>
      </c>
      <c r="X273" s="13" t="n">
        <f aca="false">PRODUCT(V273:W273)</f>
        <v>0.000162520619221362</v>
      </c>
      <c r="Y273" s="56"/>
      <c r="Z273" s="56"/>
      <c r="AA273" s="56"/>
      <c r="AB273" s="56"/>
      <c r="AC273" s="57"/>
      <c r="AD273" s="56"/>
      <c r="AE273" s="56"/>
      <c r="AF273" s="56"/>
      <c r="AG273" s="56"/>
      <c r="AH273" s="56"/>
      <c r="AI273" s="56"/>
      <c r="AJ273" s="56"/>
    </row>
    <row r="274" customFormat="false" ht="15" hidden="false" customHeight="false" outlineLevel="0" collapsed="false">
      <c r="T274" s="62"/>
      <c r="U274" s="35"/>
      <c r="V274" s="13" t="n">
        <v>-0.284180143237627</v>
      </c>
      <c r="W274" s="13" t="n">
        <v>-0.12004874547498</v>
      </c>
      <c r="X274" s="13" t="n">
        <f aca="false">PRODUCT(V274:W274)</f>
        <v>0.0341154696845772</v>
      </c>
      <c r="Y274" s="56"/>
      <c r="Z274" s="56"/>
      <c r="AA274" s="56"/>
      <c r="AB274" s="56"/>
      <c r="AC274" s="57"/>
      <c r="AD274" s="56"/>
      <c r="AE274" s="56"/>
      <c r="AF274" s="56"/>
      <c r="AG274" s="56"/>
      <c r="AH274" s="56"/>
      <c r="AI274" s="56"/>
      <c r="AJ274" s="56"/>
    </row>
    <row r="275" customFormat="false" ht="15" hidden="false" customHeight="false" outlineLevel="0" collapsed="false">
      <c r="T275" s="62"/>
      <c r="U275" s="35"/>
      <c r="V275" s="13" t="n">
        <v>-0.232914983408913</v>
      </c>
      <c r="W275" s="13" t="n">
        <v>-0.195999862630521</v>
      </c>
      <c r="X275" s="13" t="n">
        <f aca="false">PRODUCT(V275:W275)</f>
        <v>0.045651304752737</v>
      </c>
      <c r="Y275" s="56"/>
      <c r="Z275" s="56"/>
      <c r="AA275" s="56"/>
      <c r="AB275" s="56"/>
      <c r="AC275" s="57"/>
      <c r="AD275" s="56"/>
      <c r="AE275" s="56"/>
      <c r="AF275" s="56"/>
      <c r="AG275" s="56"/>
      <c r="AH275" s="56"/>
      <c r="AI275" s="56"/>
      <c r="AJ275" s="56"/>
    </row>
    <row r="276" customFormat="false" ht="15" hidden="false" customHeight="false" outlineLevel="0" collapsed="false">
      <c r="T276" s="62"/>
      <c r="U276" s="35"/>
      <c r="V276" s="13" t="n">
        <v>0.0910421215789228</v>
      </c>
      <c r="W276" s="13" t="n">
        <v>0.0450228706798628</v>
      </c>
      <c r="X276" s="13" t="n">
        <f aca="false">PRODUCT(V276:W276)</f>
        <v>0.00409897766626819</v>
      </c>
      <c r="Y276" s="56"/>
      <c r="Z276" s="56"/>
      <c r="AA276" s="56"/>
      <c r="AB276" s="56"/>
      <c r="AC276" s="57"/>
      <c r="AD276" s="56"/>
      <c r="AE276" s="56"/>
      <c r="AF276" s="56"/>
      <c r="AG276" s="56"/>
      <c r="AH276" s="56"/>
      <c r="AI276" s="56"/>
      <c r="AJ276" s="56"/>
    </row>
    <row r="277" customFormat="false" ht="15" hidden="false" customHeight="false" outlineLevel="0" collapsed="false">
      <c r="T277" s="62"/>
      <c r="U277" s="35"/>
      <c r="V277" s="13" t="n">
        <v>0.0381187997584291</v>
      </c>
      <c r="W277" s="13" t="n">
        <v>-0.0279061531087432</v>
      </c>
      <c r="X277" s="13" t="n">
        <f aca="false">PRODUCT(V277:W277)</f>
        <v>-0.00106374906238025</v>
      </c>
      <c r="Y277" s="56"/>
      <c r="Z277" s="56"/>
      <c r="AA277" s="56"/>
      <c r="AB277" s="56"/>
      <c r="AC277" s="57"/>
      <c r="AD277" s="56"/>
      <c r="AE277" s="56"/>
      <c r="AF277" s="56"/>
      <c r="AG277" s="56"/>
      <c r="AH277" s="56"/>
      <c r="AI277" s="56"/>
      <c r="AJ277" s="56"/>
    </row>
    <row r="278" customFormat="false" ht="15" hidden="false" customHeight="false" outlineLevel="0" collapsed="false">
      <c r="T278" s="62"/>
      <c r="U278" s="35"/>
      <c r="V278" s="13" t="n">
        <v>0.0137695686909982</v>
      </c>
      <c r="W278" s="13" t="n">
        <v>-0.0225625187302567</v>
      </c>
      <c r="X278" s="13" t="n">
        <f aca="false">PRODUCT(V278:W278)</f>
        <v>-0.000310676151498203</v>
      </c>
      <c r="Y278" s="56"/>
      <c r="Z278" s="56"/>
      <c r="AA278" s="56"/>
      <c r="AB278" s="56"/>
      <c r="AC278" s="57"/>
      <c r="AD278" s="56"/>
      <c r="AE278" s="56"/>
      <c r="AF278" s="56"/>
      <c r="AG278" s="56"/>
      <c r="AH278" s="56"/>
      <c r="AI278" s="56"/>
      <c r="AJ278" s="56"/>
    </row>
    <row r="279" customFormat="false" ht="15" hidden="false" customHeight="false" outlineLevel="0" collapsed="false">
      <c r="T279" s="62"/>
      <c r="U279" s="35"/>
      <c r="V279" s="13" t="n">
        <v>0.081575379710717</v>
      </c>
      <c r="W279" s="13" t="n">
        <v>0.0655036064994601</v>
      </c>
      <c r="X279" s="13" t="n">
        <f aca="false">PRODUCT(V279:W279)</f>
        <v>0.00534348157261485</v>
      </c>
      <c r="Y279" s="56"/>
      <c r="Z279" s="56"/>
      <c r="AA279" s="56"/>
      <c r="AB279" s="56"/>
      <c r="AC279" s="57"/>
      <c r="AD279" s="56"/>
      <c r="AE279" s="56"/>
      <c r="AF279" s="56"/>
      <c r="AG279" s="56"/>
      <c r="AH279" s="56"/>
      <c r="AI279" s="56"/>
      <c r="AJ279" s="56"/>
    </row>
    <row r="280" customFormat="false" ht="15" hidden="false" customHeight="false" outlineLevel="0" collapsed="false">
      <c r="T280" s="62"/>
      <c r="U280" s="35"/>
      <c r="V280" s="13" t="n">
        <v>-0.0206393287696578</v>
      </c>
      <c r="W280" s="13" t="n">
        <v>-0.0388019357377107</v>
      </c>
      <c r="X280" s="13" t="n">
        <f aca="false">PRODUCT(V280:W280)</f>
        <v>0.000800845908589746</v>
      </c>
      <c r="Y280" s="56"/>
      <c r="Z280" s="56"/>
      <c r="AA280" s="56"/>
      <c r="AB280" s="56"/>
      <c r="AC280" s="57"/>
      <c r="AD280" s="56"/>
      <c r="AE280" s="56"/>
      <c r="AF280" s="56"/>
      <c r="AG280" s="56"/>
      <c r="AH280" s="56"/>
      <c r="AI280" s="56"/>
      <c r="AJ280" s="56"/>
    </row>
    <row r="281" customFormat="false" ht="15" hidden="false" customHeight="false" outlineLevel="0" collapsed="false">
      <c r="T281" s="62"/>
      <c r="U281" s="35"/>
      <c r="V281" s="13" t="n">
        <v>0.0249706018562534</v>
      </c>
      <c r="W281" s="13" t="n">
        <v>-1.68253861430046E-005</v>
      </c>
      <c r="X281" s="13" t="n">
        <f aca="false">PRODUCT(V281:W281)</f>
        <v>-4.20140018454691E-007</v>
      </c>
      <c r="Y281" s="56"/>
      <c r="Z281" s="56"/>
      <c r="AA281" s="56"/>
      <c r="AB281" s="56"/>
      <c r="AC281" s="57"/>
      <c r="AD281" s="56"/>
      <c r="AE281" s="56"/>
      <c r="AF281" s="56"/>
      <c r="AG281" s="56"/>
      <c r="AH281" s="56"/>
      <c r="AI281" s="56"/>
      <c r="AJ281" s="56"/>
    </row>
    <row r="282" customFormat="false" ht="15" hidden="false" customHeight="false" outlineLevel="0" collapsed="false">
      <c r="T282" s="62"/>
      <c r="U282" s="35"/>
      <c r="V282" s="13" t="n">
        <v>-0.0406842233261351</v>
      </c>
      <c r="W282" s="13" t="n">
        <v>-0.0347440531508463</v>
      </c>
      <c r="X282" s="13" t="n">
        <f aca="false">PRODUCT(V282:W282)</f>
        <v>0.00141353481764414</v>
      </c>
      <c r="Y282" s="56"/>
      <c r="Z282" s="56"/>
      <c r="AA282" s="56"/>
      <c r="AB282" s="56"/>
      <c r="AC282" s="57"/>
      <c r="AD282" s="56"/>
      <c r="AE282" s="56"/>
      <c r="AF282" s="56"/>
      <c r="AG282" s="56"/>
      <c r="AH282" s="56"/>
      <c r="AI282" s="56"/>
      <c r="AJ282" s="56"/>
    </row>
    <row r="283" customFormat="false" ht="15" hidden="false" customHeight="false" outlineLevel="0" collapsed="false">
      <c r="T283" s="62"/>
      <c r="U283" s="35"/>
      <c r="V283" s="13" t="n">
        <v>-0.00340559559759157</v>
      </c>
      <c r="W283" s="13" t="n">
        <v>-0.0164044636239398</v>
      </c>
      <c r="X283" s="13" t="n">
        <f aca="false">PRODUCT(V283:W283)</f>
        <v>5.58669690985404E-005</v>
      </c>
      <c r="Y283" s="56"/>
      <c r="Z283" s="56"/>
      <c r="AA283" s="56"/>
      <c r="AB283" s="56"/>
      <c r="AC283" s="57"/>
      <c r="AD283" s="56"/>
      <c r="AE283" s="56"/>
      <c r="AF283" s="56"/>
      <c r="AG283" s="56"/>
      <c r="AH283" s="56"/>
      <c r="AI283" s="56"/>
      <c r="AJ283" s="56"/>
    </row>
    <row r="284" customFormat="false" ht="15" hidden="false" customHeight="false" outlineLevel="0" collapsed="false">
      <c r="T284" s="62"/>
      <c r="U284" s="35"/>
      <c r="V284" s="13" t="n">
        <v>-0.00896475083917103</v>
      </c>
      <c r="W284" s="13" t="n">
        <v>-0.0241061899177355</v>
      </c>
      <c r="X284" s="13" t="n">
        <f aca="false">PRODUCT(V284:W284)</f>
        <v>0.000216105986294236</v>
      </c>
      <c r="Y284" s="56"/>
      <c r="Z284" s="56"/>
      <c r="AA284" s="56"/>
      <c r="AB284" s="56"/>
      <c r="AC284" s="57"/>
      <c r="AD284" s="56"/>
      <c r="AE284" s="56"/>
      <c r="AF284" s="56"/>
      <c r="AG284" s="56"/>
      <c r="AH284" s="56"/>
      <c r="AI284" s="56"/>
      <c r="AJ284" s="56"/>
    </row>
    <row r="285" customFormat="false" ht="15" hidden="false" customHeight="false" outlineLevel="0" collapsed="false">
      <c r="T285" s="62"/>
      <c r="U285" s="35"/>
      <c r="V285" s="13" t="n">
        <v>-0.0232339667685224</v>
      </c>
      <c r="W285" s="13" t="n">
        <v>0.0648956002343848</v>
      </c>
      <c r="X285" s="13" t="n">
        <f aca="false">PRODUCT(V285:W285)</f>
        <v>-0.00150778221926901</v>
      </c>
      <c r="Y285" s="56"/>
      <c r="Z285" s="56"/>
      <c r="AA285" s="56"/>
      <c r="AB285" s="56"/>
      <c r="AC285" s="57"/>
      <c r="AD285" s="56"/>
      <c r="AE285" s="56"/>
      <c r="AF285" s="56"/>
      <c r="AG285" s="56"/>
      <c r="AH285" s="56"/>
      <c r="AI285" s="56"/>
      <c r="AJ285" s="56"/>
    </row>
    <row r="286" customFormat="false" ht="15" hidden="false" customHeight="false" outlineLevel="0" collapsed="false">
      <c r="T286" s="62"/>
      <c r="U286" s="35" t="s">
        <v>24</v>
      </c>
      <c r="V286" s="12" t="n">
        <f aca="false" t="array" ref="V286:V306">'Data Gathering and ect'!F74:F94</f>
        <v>-0.000286358642627604</v>
      </c>
      <c r="W286" s="12" t="n">
        <f aca="false" t="array" ref="W286:W306">'Data Gathering and ect'!F327:F347</f>
        <v>-0.00501176200619469</v>
      </c>
      <c r="X286" s="12" t="n">
        <f aca="false">PRODUCT(V286:W286)</f>
        <v>1.43516136526651E-006</v>
      </c>
      <c r="Y286" s="43" t="n">
        <f aca="false">SUM(V286:V306)</f>
        <v>0.0794021395412607</v>
      </c>
      <c r="Z286" s="43" t="n">
        <f aca="false">SUM(W286:W306)</f>
        <v>-0.0216217509939103</v>
      </c>
      <c r="AA286" s="43" t="n">
        <f aca="false">SUM(X286:X306)</f>
        <v>0.00462715392864751</v>
      </c>
      <c r="AB286" s="43" t="n">
        <f aca="false">Y286*Z286</f>
        <v>-0.00171681328954486</v>
      </c>
      <c r="AC286" s="43" t="n">
        <f aca="false">COUNT(V286:V306)</f>
        <v>21</v>
      </c>
      <c r="AD286" s="43" t="n">
        <f aca="false" t="array" ref="AD286:AD286">SUM(POWER(V286:V306,2))</f>
        <v>0.0376246639810753</v>
      </c>
      <c r="AE286" s="43" t="n">
        <f aca="false" t="array" ref="AE286:AE286">SUM(POWER(W286:W306,2))</f>
        <v>0.00458247632227326</v>
      </c>
      <c r="AF286" s="43" t="n">
        <f aca="false">(AA286*AC286)-(AB286)</f>
        <v>0.0988870457911426</v>
      </c>
      <c r="AG286" s="43" t="n">
        <f aca="false">(AC286*AD286)-(POWER(Y286,2))</f>
        <v>0.783813243838851</v>
      </c>
      <c r="AH286" s="43" t="n">
        <f aca="false">(AC286*AE286)-(POWER(Z286,2))</f>
        <v>0.0957645026516959</v>
      </c>
      <c r="AI286" s="43" t="n">
        <f aca="false">SQRT(AG286*AH286)</f>
        <v>0.273973512347526</v>
      </c>
      <c r="AJ286" s="43" t="n">
        <f aca="false">AF286 / AI286</f>
        <v>0.360936518803715</v>
      </c>
    </row>
    <row r="287" customFormat="false" ht="15" hidden="false" customHeight="false" outlineLevel="0" collapsed="false">
      <c r="T287" s="62"/>
      <c r="U287" s="35"/>
      <c r="V287" s="12" t="n">
        <v>0.0886129681522299</v>
      </c>
      <c r="W287" s="12" t="n">
        <v>0.02352673785464</v>
      </c>
      <c r="X287" s="12" t="n">
        <f aca="false">PRODUCT(V287:W287)</f>
        <v>0.00208477407223908</v>
      </c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</row>
    <row r="288" customFormat="false" ht="15" hidden="false" customHeight="false" outlineLevel="0" collapsed="false">
      <c r="T288" s="62"/>
      <c r="U288" s="35"/>
      <c r="V288" s="12" t="n">
        <v>-0.031920716000073</v>
      </c>
      <c r="W288" s="12" t="n">
        <v>0.00705059488162085</v>
      </c>
      <c r="X288" s="12" t="n">
        <f aca="false">PRODUCT(V288:W288)</f>
        <v>-0.000225060036847787</v>
      </c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</row>
    <row r="289" customFormat="false" ht="15" hidden="false" customHeight="false" outlineLevel="0" collapsed="false">
      <c r="T289" s="62"/>
      <c r="U289" s="35"/>
      <c r="V289" s="12" t="n">
        <v>0.028864219000841</v>
      </c>
      <c r="W289" s="12" t="n">
        <v>-0.0122624934824085</v>
      </c>
      <c r="X289" s="12" t="n">
        <f aca="false">PRODUCT(V289:W289)</f>
        <v>-0.000353947297372624</v>
      </c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</row>
    <row r="290" customFormat="false" ht="15" hidden="false" customHeight="false" outlineLevel="0" collapsed="false">
      <c r="T290" s="62"/>
      <c r="U290" s="35"/>
      <c r="V290" s="12" t="n">
        <v>0.00624475610456798</v>
      </c>
      <c r="W290" s="12" t="n">
        <v>-0.0349261781008394</v>
      </c>
      <c r="X290" s="12" t="n">
        <f aca="false">PRODUCT(V290:W290)</f>
        <v>-0.000218105463904445</v>
      </c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</row>
    <row r="291" customFormat="false" ht="15" hidden="false" customHeight="false" outlineLevel="0" collapsed="false">
      <c r="T291" s="62"/>
      <c r="U291" s="35"/>
      <c r="V291" s="12" t="n">
        <v>-0.0124703762064406</v>
      </c>
      <c r="W291" s="12" t="n">
        <v>0.0125778124039275</v>
      </c>
      <c r="X291" s="12" t="n">
        <f aca="false">PRODUCT(V291:W291)</f>
        <v>-0.000156850052531011</v>
      </c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</row>
    <row r="292" customFormat="false" ht="15" hidden="false" customHeight="false" outlineLevel="0" collapsed="false">
      <c r="T292" s="62"/>
      <c r="U292" s="35"/>
      <c r="V292" s="12" t="n">
        <v>0.00282911583851941</v>
      </c>
      <c r="W292" s="12" t="n">
        <v>0.00587632033539087</v>
      </c>
      <c r="X292" s="12" t="n">
        <f aca="false">PRODUCT(V292:W292)</f>
        <v>1.6624790933068E-005</v>
      </c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</row>
    <row r="293" customFormat="false" ht="15" hidden="false" customHeight="false" outlineLevel="0" collapsed="false">
      <c r="T293" s="62"/>
      <c r="U293" s="35"/>
      <c r="V293" s="12" t="n">
        <v>0.0216272062325444</v>
      </c>
      <c r="W293" s="12" t="n">
        <v>0.0191552298439781</v>
      </c>
      <c r="X293" s="12" t="n">
        <f aca="false">PRODUCT(V293:W293)</f>
        <v>0.000414274106267504</v>
      </c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</row>
    <row r="294" customFormat="false" ht="15" hidden="false" customHeight="false" outlineLevel="0" collapsed="false">
      <c r="T294" s="62"/>
      <c r="U294" s="35"/>
      <c r="V294" s="12" t="n">
        <v>0.116447817978472</v>
      </c>
      <c r="W294" s="12" t="n">
        <v>-0.00185961774265309</v>
      </c>
      <c r="X294" s="12" t="n">
        <f aca="false">PRODUCT(V294:W294)</f>
        <v>-0.000216548428406004</v>
      </c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</row>
    <row r="295" customFormat="false" ht="15" hidden="false" customHeight="false" outlineLevel="0" collapsed="false">
      <c r="T295" s="62"/>
      <c r="U295" s="35"/>
      <c r="V295" s="12" t="n">
        <v>0.0341490725846221</v>
      </c>
      <c r="W295" s="12" t="n">
        <v>0.00132051302884406</v>
      </c>
      <c r="X295" s="12" t="n">
        <f aca="false">PRODUCT(V295:W295)</f>
        <v>4.5094295270935E-005</v>
      </c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</row>
    <row r="296" customFormat="false" ht="15" hidden="false" customHeight="false" outlineLevel="0" collapsed="false">
      <c r="T296" s="62"/>
      <c r="U296" s="35"/>
      <c r="V296" s="12" t="n">
        <v>-0.0228233473750326</v>
      </c>
      <c r="W296" s="12" t="n">
        <v>-0.0088142461366818</v>
      </c>
      <c r="X296" s="12" t="n">
        <f aca="false">PRODUCT(V296:W296)</f>
        <v>0.000201170601426528</v>
      </c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</row>
    <row r="297" customFormat="false" ht="15" hidden="false" customHeight="false" outlineLevel="0" collapsed="false">
      <c r="T297" s="62"/>
      <c r="U297" s="35"/>
      <c r="V297" s="12" t="n">
        <v>-0.0443424840431756</v>
      </c>
      <c r="W297" s="12" t="n">
        <v>-0.0161390405846671</v>
      </c>
      <c r="X297" s="12" t="n">
        <f aca="false">PRODUCT(V297:W297)</f>
        <v>0.000715645149597764</v>
      </c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</row>
    <row r="298" customFormat="false" ht="15" hidden="false" customHeight="false" outlineLevel="0" collapsed="false">
      <c r="T298" s="62"/>
      <c r="U298" s="35"/>
      <c r="V298" s="12" t="n">
        <v>-0.014073186380255</v>
      </c>
      <c r="W298" s="12" t="n">
        <v>-0.022503021563514</v>
      </c>
      <c r="X298" s="12" t="n">
        <f aca="false">PRODUCT(V298:W298)</f>
        <v>0.00031668921658223</v>
      </c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</row>
    <row r="299" customFormat="false" ht="15" hidden="false" customHeight="false" outlineLevel="0" collapsed="false">
      <c r="T299" s="62"/>
      <c r="U299" s="35"/>
      <c r="V299" s="12" t="n">
        <v>0.0372144380073269</v>
      </c>
      <c r="W299" s="12" t="n">
        <v>0.0156093186592727</v>
      </c>
      <c r="X299" s="12" t="n">
        <f aca="false">PRODUCT(V299:W299)</f>
        <v>0.000580892021582115</v>
      </c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</row>
    <row r="300" customFormat="false" ht="15" hidden="false" customHeight="false" outlineLevel="0" collapsed="false">
      <c r="T300" s="62"/>
      <c r="U300" s="35"/>
      <c r="V300" s="12" t="n">
        <v>-0.0299717608209775</v>
      </c>
      <c r="W300" s="12" t="n">
        <v>0.000848385464056634</v>
      </c>
      <c r="X300" s="12" t="n">
        <f aca="false">PRODUCT(V300:W300)</f>
        <v>-2.54276062126994E-005</v>
      </c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</row>
    <row r="301" customFormat="false" ht="15" hidden="false" customHeight="false" outlineLevel="0" collapsed="false">
      <c r="T301" s="62"/>
      <c r="U301" s="35"/>
      <c r="V301" s="12" t="n">
        <v>0.0333294633804524</v>
      </c>
      <c r="W301" s="12" t="n">
        <v>0.00883810822235986</v>
      </c>
      <c r="X301" s="12" t="n">
        <f aca="false">PRODUCT(V301:W301)</f>
        <v>0.000294569404349618</v>
      </c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</row>
    <row r="302" customFormat="false" ht="15" hidden="false" customHeight="false" outlineLevel="0" collapsed="false">
      <c r="T302" s="62"/>
      <c r="U302" s="35"/>
      <c r="V302" s="12" t="n">
        <v>0.000791283978168522</v>
      </c>
      <c r="W302" s="12" t="n">
        <v>0.0109481594253484</v>
      </c>
      <c r="X302" s="12" t="n">
        <f aca="false">PRODUCT(V302:W302)</f>
        <v>8.66310314371288E-006</v>
      </c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</row>
    <row r="303" customFormat="false" ht="15" hidden="false" customHeight="false" outlineLevel="0" collapsed="false">
      <c r="T303" s="62"/>
      <c r="U303" s="35"/>
      <c r="V303" s="12" t="n">
        <v>-0.0135355302841944</v>
      </c>
      <c r="W303" s="12" t="n">
        <v>0.0130707882223309</v>
      </c>
      <c r="X303" s="12" t="n">
        <f aca="false">PRODUCT(V303:W303)</f>
        <v>-0.000176920049821651</v>
      </c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</row>
    <row r="304" customFormat="false" ht="15" hidden="false" customHeight="false" outlineLevel="0" collapsed="false">
      <c r="T304" s="62"/>
      <c r="U304" s="35"/>
      <c r="V304" s="12" t="n">
        <v>-0.0393069847338516</v>
      </c>
      <c r="W304" s="12" t="n">
        <v>-0.0156128593145617</v>
      </c>
      <c r="X304" s="12" t="n">
        <f aca="false">PRODUCT(V304:W304)</f>
        <v>0.00061369442272925</v>
      </c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</row>
    <row r="305" customFormat="false" ht="15" hidden="false" customHeight="false" outlineLevel="0" collapsed="false">
      <c r="T305" s="62"/>
      <c r="U305" s="35"/>
      <c r="V305" s="12" t="n">
        <v>-0.0670216961664512</v>
      </c>
      <c r="W305" s="12" t="n">
        <v>-0.00687206366679583</v>
      </c>
      <c r="X305" s="12" t="n">
        <f aca="false">PRODUCT(V305:W305)</f>
        <v>0.000460577363112499</v>
      </c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</row>
    <row r="306" customFormat="false" ht="15" hidden="false" customHeight="false" outlineLevel="0" collapsed="false">
      <c r="T306" s="62"/>
      <c r="U306" s="35"/>
      <c r="V306" s="12" t="n">
        <v>-0.0149557610634048</v>
      </c>
      <c r="W306" s="12" t="n">
        <v>-0.0164424367373641</v>
      </c>
      <c r="X306" s="12" t="n">
        <f aca="false">PRODUCT(V306:W306)</f>
        <v>0.000245909155144167</v>
      </c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</row>
    <row r="307" customFormat="false" ht="15" hidden="false" customHeight="false" outlineLevel="0" collapsed="false">
      <c r="T307" s="62"/>
      <c r="U307" s="35"/>
      <c r="V307" s="13" t="n">
        <f aca="false" t="array" ref="V307:V332">'Data Gathering and ect'!F95:F120</f>
        <v>-0.0689425876158651</v>
      </c>
      <c r="W307" s="13" t="n">
        <f aca="false" t="array" ref="W307:W332">'Data Gathering and ect'!F348:F373</f>
        <v>0.0156543920092478</v>
      </c>
      <c r="X307" s="13" t="n">
        <f aca="false">PRODUCT(V307:W307)</f>
        <v>-0.00107925429267066</v>
      </c>
      <c r="Y307" s="56" t="n">
        <f aca="false">SUM(V307:V332)</f>
        <v>-0.61308183766856</v>
      </c>
      <c r="Z307" s="56" t="n">
        <f aca="false">SUM(W307:W332)</f>
        <v>-0.249338051904321</v>
      </c>
      <c r="AA307" s="56" t="n">
        <f aca="false">SUM(X307:X332)</f>
        <v>0.116638416004081</v>
      </c>
      <c r="AB307" s="56" t="n">
        <f aca="false">Y307*Z307</f>
        <v>0.1528646310622</v>
      </c>
      <c r="AC307" s="57" t="n">
        <f aca="false">COUNT(V307:V332)</f>
        <v>26</v>
      </c>
      <c r="AD307" s="56" t="n">
        <f aca="false" t="array" ref="AD307:AD307">SUM(POWER(V307:V332,2))</f>
        <v>0.179084733445403</v>
      </c>
      <c r="AE307" s="56" t="n">
        <f aca="false" t="array" ref="AE307:AE307">SUM(POWER(W307:W332,2))</f>
        <v>0.109481364943174</v>
      </c>
      <c r="AF307" s="56" t="n">
        <f aca="false">(AA307*AC307)-(AB307)</f>
        <v>2.8797341850439</v>
      </c>
      <c r="AG307" s="56" t="n">
        <f aca="false">(AC307*AD307)-(POWER(Y307,2))</f>
        <v>4.28033372990141</v>
      </c>
      <c r="AH307" s="56" t="n">
        <f aca="false">(AC307*AE307)-(POWER(Z307,2))</f>
        <v>2.78434602439508</v>
      </c>
      <c r="AI307" s="56" t="n">
        <f aca="false">SQRT(AG307*AH307)</f>
        <v>3.4522355371462</v>
      </c>
      <c r="AJ307" s="56" t="n">
        <f aca="false">AF307 / AI307</f>
        <v>0.834165037135454</v>
      </c>
    </row>
    <row r="308" customFormat="false" ht="15" hidden="false" customHeight="false" outlineLevel="0" collapsed="false">
      <c r="T308" s="62"/>
      <c r="U308" s="35"/>
      <c r="V308" s="13" t="n">
        <v>0.000525301944326984</v>
      </c>
      <c r="W308" s="13" t="n">
        <v>-0.0152770401967075</v>
      </c>
      <c r="X308" s="13" t="n">
        <f aca="false">PRODUCT(V308:W308)</f>
        <v>-8.02505891889194E-006</v>
      </c>
      <c r="Y308" s="56"/>
      <c r="Z308" s="56"/>
      <c r="AA308" s="56"/>
      <c r="AB308" s="56"/>
      <c r="AC308" s="57"/>
      <c r="AD308" s="56"/>
      <c r="AE308" s="56"/>
      <c r="AF308" s="56"/>
      <c r="AG308" s="56"/>
      <c r="AH308" s="56"/>
      <c r="AI308" s="56"/>
      <c r="AJ308" s="56"/>
    </row>
    <row r="309" customFormat="false" ht="15" hidden="false" customHeight="false" outlineLevel="0" collapsed="false">
      <c r="T309" s="62"/>
      <c r="U309" s="35"/>
      <c r="V309" s="13" t="n">
        <v>0.00864171857069351</v>
      </c>
      <c r="W309" s="13" t="n">
        <v>-0.00441939777758016</v>
      </c>
      <c r="X309" s="13" t="n">
        <f aca="false">PRODUCT(V309:W309)</f>
        <v>-3.81911918457961E-005</v>
      </c>
      <c r="Y309" s="56"/>
      <c r="Z309" s="56"/>
      <c r="AA309" s="56"/>
      <c r="AB309" s="56"/>
      <c r="AC309" s="57"/>
      <c r="AD309" s="56"/>
      <c r="AE309" s="56"/>
      <c r="AF309" s="56"/>
      <c r="AG309" s="56"/>
      <c r="AH309" s="56"/>
      <c r="AI309" s="56"/>
      <c r="AJ309" s="56"/>
    </row>
    <row r="310" customFormat="false" ht="15" hidden="false" customHeight="false" outlineLevel="0" collapsed="false">
      <c r="T310" s="62"/>
      <c r="U310" s="35"/>
      <c r="V310" s="13" t="n">
        <v>0.0644714611014319</v>
      </c>
      <c r="W310" s="13" t="n">
        <v>-0.000997925288084289</v>
      </c>
      <c r="X310" s="13" t="n">
        <f aca="false">PRODUCT(V310:W310)</f>
        <v>-6.43377013928615E-005</v>
      </c>
      <c r="Y310" s="56"/>
      <c r="Z310" s="56"/>
      <c r="AA310" s="56"/>
      <c r="AB310" s="56"/>
      <c r="AC310" s="57"/>
      <c r="AD310" s="56"/>
      <c r="AE310" s="56"/>
      <c r="AF310" s="56"/>
      <c r="AG310" s="56"/>
      <c r="AH310" s="56"/>
      <c r="AI310" s="56"/>
      <c r="AJ310" s="56"/>
    </row>
    <row r="311" customFormat="false" ht="15" hidden="false" customHeight="false" outlineLevel="0" collapsed="false">
      <c r="T311" s="62"/>
      <c r="U311" s="35"/>
      <c r="V311" s="13" t="n">
        <v>-0.00884026724462572</v>
      </c>
      <c r="W311" s="13" t="n">
        <v>0.00520901689469611</v>
      </c>
      <c r="X311" s="13" t="n">
        <f aca="false">PRODUCT(V311:W311)</f>
        <v>-4.6049101430884E-005</v>
      </c>
      <c r="Y311" s="56"/>
      <c r="Z311" s="56"/>
      <c r="AA311" s="56"/>
      <c r="AB311" s="56"/>
      <c r="AC311" s="57"/>
      <c r="AD311" s="56"/>
      <c r="AE311" s="56"/>
      <c r="AF311" s="56"/>
      <c r="AG311" s="56"/>
      <c r="AH311" s="56"/>
      <c r="AI311" s="56"/>
      <c r="AJ311" s="56"/>
    </row>
    <row r="312" customFormat="false" ht="15" hidden="false" customHeight="false" outlineLevel="0" collapsed="false">
      <c r="T312" s="62"/>
      <c r="U312" s="35"/>
      <c r="V312" s="13" t="n">
        <v>0.0107736465310566</v>
      </c>
      <c r="W312" s="13" t="n">
        <v>0.000488630175269122</v>
      </c>
      <c r="X312" s="13" t="n">
        <f aca="false">PRODUCT(V312:W312)</f>
        <v>5.26432879275776E-006</v>
      </c>
      <c r="Y312" s="56"/>
      <c r="Z312" s="56"/>
      <c r="AA312" s="56"/>
      <c r="AB312" s="56"/>
      <c r="AC312" s="57"/>
      <c r="AD312" s="56"/>
      <c r="AE312" s="56"/>
      <c r="AF312" s="56"/>
      <c r="AG312" s="56"/>
      <c r="AH312" s="56"/>
      <c r="AI312" s="56"/>
      <c r="AJ312" s="56"/>
    </row>
    <row r="313" customFormat="false" ht="15" hidden="false" customHeight="false" outlineLevel="0" collapsed="false">
      <c r="T313" s="62"/>
      <c r="U313" s="35"/>
      <c r="V313" s="13" t="n">
        <v>0.00441691993237292</v>
      </c>
      <c r="W313" s="13" t="n">
        <v>-0.0211588830495266</v>
      </c>
      <c r="X313" s="13" t="n">
        <f aca="false">PRODUCT(V313:W313)</f>
        <v>-9.34570922882016E-005</v>
      </c>
      <c r="Y313" s="56"/>
      <c r="Z313" s="56"/>
      <c r="AA313" s="56"/>
      <c r="AB313" s="56"/>
      <c r="AC313" s="57"/>
      <c r="AD313" s="56"/>
      <c r="AE313" s="56"/>
      <c r="AF313" s="56"/>
      <c r="AG313" s="56"/>
      <c r="AH313" s="56"/>
      <c r="AI313" s="56"/>
      <c r="AJ313" s="56"/>
    </row>
    <row r="314" customFormat="false" ht="15" hidden="false" customHeight="false" outlineLevel="0" collapsed="false">
      <c r="T314" s="62"/>
      <c r="U314" s="35"/>
      <c r="V314" s="13" t="n">
        <v>-0.0217663815648557</v>
      </c>
      <c r="W314" s="13" t="n">
        <v>-0.0171658737065741</v>
      </c>
      <c r="X314" s="13" t="n">
        <f aca="false">PRODUCT(V314:W314)</f>
        <v>0.000373638956991416</v>
      </c>
      <c r="Y314" s="56"/>
      <c r="Z314" s="56"/>
      <c r="AA314" s="56"/>
      <c r="AB314" s="56"/>
      <c r="AC314" s="57"/>
      <c r="AD314" s="56"/>
      <c r="AE314" s="56"/>
      <c r="AF314" s="56"/>
      <c r="AG314" s="56"/>
      <c r="AH314" s="56"/>
      <c r="AI314" s="56"/>
      <c r="AJ314" s="56"/>
    </row>
    <row r="315" customFormat="false" ht="15" hidden="false" customHeight="false" outlineLevel="0" collapsed="false">
      <c r="T315" s="62"/>
      <c r="U315" s="35"/>
      <c r="V315" s="13" t="n">
        <v>-0.0390198846963248</v>
      </c>
      <c r="W315" s="13" t="n">
        <v>-0.0629107928451944</v>
      </c>
      <c r="X315" s="13" t="n">
        <f aca="false">PRODUCT(V315:W315)</f>
        <v>0.00245477188297386</v>
      </c>
      <c r="Y315" s="56"/>
      <c r="Z315" s="56"/>
      <c r="AA315" s="56"/>
      <c r="AB315" s="56"/>
      <c r="AC315" s="57"/>
      <c r="AD315" s="56"/>
      <c r="AE315" s="56"/>
      <c r="AF315" s="56"/>
      <c r="AG315" s="56"/>
      <c r="AH315" s="56"/>
      <c r="AI315" s="56"/>
      <c r="AJ315" s="56"/>
    </row>
    <row r="316" customFormat="false" ht="15" hidden="false" customHeight="false" outlineLevel="0" collapsed="false">
      <c r="T316" s="62"/>
      <c r="U316" s="35"/>
      <c r="V316" s="13" t="n">
        <v>-0.0371937628734642</v>
      </c>
      <c r="W316" s="13" t="n">
        <v>0.0349877783745267</v>
      </c>
      <c r="X316" s="13" t="n">
        <f aca="false">PRODUCT(V316:W316)</f>
        <v>-0.00130132713233146</v>
      </c>
      <c r="Y316" s="56"/>
      <c r="Z316" s="56"/>
      <c r="AA316" s="56"/>
      <c r="AB316" s="56"/>
      <c r="AC316" s="57"/>
      <c r="AD316" s="56"/>
      <c r="AE316" s="56"/>
      <c r="AF316" s="56"/>
      <c r="AG316" s="56"/>
      <c r="AH316" s="56"/>
      <c r="AI316" s="56"/>
      <c r="AJ316" s="56"/>
    </row>
    <row r="317" customFormat="false" ht="15" hidden="false" customHeight="false" outlineLevel="0" collapsed="false">
      <c r="T317" s="62"/>
      <c r="U317" s="35"/>
      <c r="V317" s="13" t="n">
        <v>-0.0449913194219143</v>
      </c>
      <c r="W317" s="13" t="n">
        <v>-0.0132470922217287</v>
      </c>
      <c r="X317" s="13" t="n">
        <f aca="false">PRODUCT(V317:W317)</f>
        <v>0.000596004157559352</v>
      </c>
      <c r="Y317" s="56"/>
      <c r="Z317" s="56"/>
      <c r="AA317" s="56"/>
      <c r="AB317" s="56"/>
      <c r="AC317" s="57"/>
      <c r="AD317" s="56"/>
      <c r="AE317" s="56"/>
      <c r="AF317" s="56"/>
      <c r="AG317" s="56"/>
      <c r="AH317" s="56"/>
      <c r="AI317" s="56"/>
      <c r="AJ317" s="56"/>
    </row>
    <row r="318" customFormat="false" ht="15" hidden="false" customHeight="false" outlineLevel="0" collapsed="false">
      <c r="T318" s="62"/>
      <c r="U318" s="35"/>
      <c r="V318" s="13" t="n">
        <v>0.00399561099786183</v>
      </c>
      <c r="W318" s="13" t="n">
        <v>0.0234066299112286</v>
      </c>
      <c r="X318" s="13" t="n">
        <f aca="false">PRODUCT(V318:W318)</f>
        <v>9.35237878961867E-005</v>
      </c>
      <c r="Y318" s="56"/>
      <c r="Z318" s="56"/>
      <c r="AA318" s="56"/>
      <c r="AB318" s="56"/>
      <c r="AC318" s="57"/>
      <c r="AD318" s="56"/>
      <c r="AE318" s="56"/>
      <c r="AF318" s="56"/>
      <c r="AG318" s="56"/>
      <c r="AH318" s="56"/>
      <c r="AI318" s="56"/>
      <c r="AJ318" s="56"/>
    </row>
    <row r="319" customFormat="false" ht="15" hidden="false" customHeight="false" outlineLevel="0" collapsed="false">
      <c r="T319" s="62"/>
      <c r="U319" s="35"/>
      <c r="V319" s="13" t="n">
        <v>-0.0939446476819228</v>
      </c>
      <c r="W319" s="13" t="n">
        <v>-0.0855493687361619</v>
      </c>
      <c r="X319" s="13" t="n">
        <f aca="false">PRODUCT(V319:W319)</f>
        <v>0.00803690530532963</v>
      </c>
      <c r="Y319" s="56"/>
      <c r="Z319" s="56"/>
      <c r="AA319" s="56"/>
      <c r="AB319" s="56"/>
      <c r="AC319" s="57"/>
      <c r="AD319" s="56"/>
      <c r="AE319" s="56"/>
      <c r="AF319" s="56"/>
      <c r="AG319" s="56"/>
      <c r="AH319" s="56"/>
      <c r="AI319" s="56"/>
      <c r="AJ319" s="56"/>
    </row>
    <row r="320" customFormat="false" ht="15" hidden="false" customHeight="false" outlineLevel="0" collapsed="false">
      <c r="T320" s="62"/>
      <c r="U320" s="35"/>
      <c r="V320" s="13" t="n">
        <v>-0.0266611252950337</v>
      </c>
      <c r="W320" s="13" t="n">
        <v>-0.00223882856733404</v>
      </c>
      <c r="X320" s="13" t="n">
        <f aca="false">PRODUCT(V320:W320)</f>
        <v>5.96896889477936E-005</v>
      </c>
      <c r="Y320" s="56"/>
      <c r="Z320" s="56"/>
      <c r="AA320" s="56"/>
      <c r="AB320" s="56"/>
      <c r="AC320" s="57"/>
      <c r="AD320" s="56"/>
      <c r="AE320" s="56"/>
      <c r="AF320" s="56"/>
      <c r="AG320" s="56"/>
      <c r="AH320" s="56"/>
      <c r="AI320" s="56"/>
      <c r="AJ320" s="56"/>
    </row>
    <row r="321" customFormat="false" ht="15" hidden="false" customHeight="false" outlineLevel="0" collapsed="false">
      <c r="T321" s="62"/>
      <c r="U321" s="35"/>
      <c r="V321" s="13" t="n">
        <v>-0.284180143237627</v>
      </c>
      <c r="W321" s="13" t="n">
        <v>-0.153092839402529</v>
      </c>
      <c r="X321" s="13" t="n">
        <f aca="false">PRODUCT(V321:W321)</f>
        <v>0.0435059450300657</v>
      </c>
      <c r="Y321" s="56"/>
      <c r="Z321" s="56"/>
      <c r="AA321" s="56"/>
      <c r="AB321" s="56"/>
      <c r="AC321" s="57"/>
      <c r="AD321" s="56"/>
      <c r="AE321" s="56"/>
      <c r="AF321" s="56"/>
      <c r="AG321" s="56"/>
      <c r="AH321" s="56"/>
      <c r="AI321" s="56"/>
      <c r="AJ321" s="56"/>
    </row>
    <row r="322" customFormat="false" ht="15" hidden="false" customHeight="false" outlineLevel="0" collapsed="false">
      <c r="T322" s="62"/>
      <c r="U322" s="35"/>
      <c r="V322" s="13" t="n">
        <v>-0.232914983408913</v>
      </c>
      <c r="W322" s="13" t="n">
        <v>-0.209328580913109</v>
      </c>
      <c r="X322" s="13" t="n">
        <f aca="false">PRODUCT(V322:W322)</f>
        <v>0.0487557629503881</v>
      </c>
      <c r="Y322" s="56"/>
      <c r="Z322" s="56"/>
      <c r="AA322" s="56"/>
      <c r="AB322" s="56"/>
      <c r="AC322" s="57"/>
      <c r="AD322" s="56"/>
      <c r="AE322" s="56"/>
      <c r="AF322" s="56"/>
      <c r="AG322" s="56"/>
      <c r="AH322" s="56"/>
      <c r="AI322" s="56"/>
      <c r="AJ322" s="56"/>
    </row>
    <row r="323" customFormat="false" ht="15" hidden="false" customHeight="false" outlineLevel="0" collapsed="false">
      <c r="T323" s="62"/>
      <c r="U323" s="35"/>
      <c r="V323" s="13" t="n">
        <v>0.0910421215789228</v>
      </c>
      <c r="W323" s="13" t="n">
        <v>0.110959430554681</v>
      </c>
      <c r="X323" s="13" t="n">
        <f aca="false">PRODUCT(V323:W323)</f>
        <v>0.0101019819668873</v>
      </c>
      <c r="Y323" s="56"/>
      <c r="Z323" s="56"/>
      <c r="AA323" s="56"/>
      <c r="AB323" s="56"/>
      <c r="AC323" s="57"/>
      <c r="AD323" s="56"/>
      <c r="AE323" s="56"/>
      <c r="AF323" s="56"/>
      <c r="AG323" s="56"/>
      <c r="AH323" s="56"/>
      <c r="AI323" s="56"/>
      <c r="AJ323" s="56"/>
    </row>
    <row r="324" customFormat="false" ht="15" hidden="false" customHeight="false" outlineLevel="0" collapsed="false">
      <c r="T324" s="62"/>
      <c r="U324" s="35"/>
      <c r="V324" s="13" t="n">
        <v>0.0381187997584291</v>
      </c>
      <c r="W324" s="13" t="n">
        <v>0.0237164245191437</v>
      </c>
      <c r="X324" s="13" t="n">
        <f aca="false">PRODUCT(V324:W324)</f>
        <v>0.000904041637231137</v>
      </c>
      <c r="Y324" s="56"/>
      <c r="Z324" s="56"/>
      <c r="AA324" s="56"/>
      <c r="AB324" s="56"/>
      <c r="AC324" s="57"/>
      <c r="AD324" s="56"/>
      <c r="AE324" s="56"/>
      <c r="AF324" s="56"/>
      <c r="AG324" s="56"/>
      <c r="AH324" s="56"/>
      <c r="AI324" s="56"/>
      <c r="AJ324" s="56"/>
    </row>
    <row r="325" customFormat="false" ht="15" hidden="false" customHeight="false" outlineLevel="0" collapsed="false">
      <c r="T325" s="62"/>
      <c r="U325" s="35"/>
      <c r="V325" s="13" t="n">
        <v>0.0137695686909982</v>
      </c>
      <c r="W325" s="13" t="n">
        <v>0.0455280824270385</v>
      </c>
      <c r="X325" s="13" t="n">
        <f aca="false">PRODUCT(V325:W325)</f>
        <v>0.000626902058348535</v>
      </c>
      <c r="Y325" s="56"/>
      <c r="Z325" s="56"/>
      <c r="AA325" s="56"/>
      <c r="AB325" s="56"/>
      <c r="AC325" s="57"/>
      <c r="AD325" s="56"/>
      <c r="AE325" s="56"/>
      <c r="AF325" s="56"/>
      <c r="AG325" s="56"/>
      <c r="AH325" s="56"/>
      <c r="AI325" s="56"/>
      <c r="AJ325" s="56"/>
    </row>
    <row r="326" customFormat="false" ht="15" hidden="false" customHeight="false" outlineLevel="0" collapsed="false">
      <c r="T326" s="62"/>
      <c r="U326" s="35"/>
      <c r="V326" s="13" t="n">
        <v>0.081575379710717</v>
      </c>
      <c r="W326" s="13" t="n">
        <v>0.0393077065288061</v>
      </c>
      <c r="X326" s="13" t="n">
        <f aca="false">PRODUCT(V326:W326)</f>
        <v>0.00320654108564479</v>
      </c>
      <c r="Y326" s="56"/>
      <c r="Z326" s="56"/>
      <c r="AA326" s="56"/>
      <c r="AB326" s="56"/>
      <c r="AC326" s="57"/>
      <c r="AD326" s="56"/>
      <c r="AE326" s="56"/>
      <c r="AF326" s="56"/>
      <c r="AG326" s="56"/>
      <c r="AH326" s="56"/>
      <c r="AI326" s="56"/>
      <c r="AJ326" s="56"/>
    </row>
    <row r="327" customFormat="false" ht="15" hidden="false" customHeight="false" outlineLevel="0" collapsed="false">
      <c r="T327" s="62"/>
      <c r="U327" s="35"/>
      <c r="V327" s="13" t="n">
        <v>-0.0206393287696578</v>
      </c>
      <c r="W327" s="13" t="n">
        <v>-0.0667197228925254</v>
      </c>
      <c r="X327" s="13" t="n">
        <f aca="false">PRODUCT(V327:W327)</f>
        <v>0.0013770502961993</v>
      </c>
      <c r="Y327" s="56"/>
      <c r="Z327" s="56"/>
      <c r="AA327" s="56"/>
      <c r="AB327" s="56"/>
      <c r="AC327" s="57"/>
      <c r="AD327" s="56"/>
      <c r="AE327" s="56"/>
      <c r="AF327" s="56"/>
      <c r="AG327" s="56"/>
      <c r="AH327" s="56"/>
      <c r="AI327" s="56"/>
      <c r="AJ327" s="56"/>
    </row>
    <row r="328" customFormat="false" ht="15" hidden="false" customHeight="false" outlineLevel="0" collapsed="false">
      <c r="T328" s="62"/>
      <c r="U328" s="35"/>
      <c r="V328" s="13" t="n">
        <v>0.0249706018562534</v>
      </c>
      <c r="W328" s="13" t="n">
        <v>0.0334725971174805</v>
      </c>
      <c r="X328" s="13" t="n">
        <f aca="false">PRODUCT(V328:W328)</f>
        <v>0.000835830895715381</v>
      </c>
      <c r="Y328" s="56"/>
      <c r="Z328" s="56"/>
      <c r="AA328" s="56"/>
      <c r="AB328" s="56"/>
      <c r="AC328" s="57"/>
      <c r="AD328" s="56"/>
      <c r="AE328" s="56"/>
      <c r="AF328" s="56"/>
      <c r="AG328" s="56"/>
      <c r="AH328" s="56"/>
      <c r="AI328" s="56"/>
      <c r="AJ328" s="56"/>
    </row>
    <row r="329" customFormat="false" ht="15" hidden="false" customHeight="false" outlineLevel="0" collapsed="false">
      <c r="T329" s="62"/>
      <c r="U329" s="35"/>
      <c r="V329" s="13" t="n">
        <v>-0.0406842233261351</v>
      </c>
      <c r="W329" s="13" t="n">
        <v>-0.00217034976892982</v>
      </c>
      <c r="X329" s="13" t="n">
        <f aca="false">PRODUCT(V329:W329)</f>
        <v>8.82989946949665E-005</v>
      </c>
      <c r="Y329" s="56"/>
      <c r="Z329" s="56"/>
      <c r="AA329" s="56"/>
      <c r="AB329" s="56"/>
      <c r="AC329" s="57"/>
      <c r="AD329" s="56"/>
      <c r="AE329" s="56"/>
      <c r="AF329" s="56"/>
      <c r="AG329" s="56"/>
      <c r="AH329" s="56"/>
      <c r="AI329" s="56"/>
      <c r="AJ329" s="56"/>
    </row>
    <row r="330" customFormat="false" ht="15" hidden="false" customHeight="false" outlineLevel="0" collapsed="false">
      <c r="T330" s="62"/>
      <c r="U330" s="35"/>
      <c r="V330" s="13" t="n">
        <v>-0.00340559559759157</v>
      </c>
      <c r="W330" s="13" t="n">
        <v>-0.0173542650642524</v>
      </c>
      <c r="X330" s="13" t="n">
        <f aca="false">PRODUCT(V330:W330)</f>
        <v>5.91016087022552E-005</v>
      </c>
      <c r="Y330" s="56"/>
      <c r="Z330" s="56"/>
      <c r="AA330" s="56"/>
      <c r="AB330" s="56"/>
      <c r="AC330" s="57"/>
      <c r="AD330" s="56"/>
      <c r="AE330" s="56"/>
      <c r="AF330" s="56"/>
      <c r="AG330" s="56"/>
      <c r="AH330" s="56"/>
      <c r="AI330" s="56"/>
      <c r="AJ330" s="56"/>
    </row>
    <row r="331" customFormat="false" ht="15" hidden="false" customHeight="false" outlineLevel="0" collapsed="false">
      <c r="T331" s="62"/>
      <c r="U331" s="35"/>
      <c r="V331" s="13" t="n">
        <v>-0.00896475083917103</v>
      </c>
      <c r="W331" s="13" t="n">
        <v>0.0188299474502944</v>
      </c>
      <c r="X331" s="13" t="n">
        <f aca="false">PRODUCT(V331:W331)</f>
        <v>-0.000168805787206573</v>
      </c>
      <c r="Y331" s="56"/>
      <c r="Z331" s="56"/>
      <c r="AA331" s="56"/>
      <c r="AB331" s="56"/>
      <c r="AC331" s="57"/>
      <c r="AD331" s="56"/>
      <c r="AE331" s="56"/>
      <c r="AF331" s="56"/>
      <c r="AG331" s="56"/>
      <c r="AH331" s="56"/>
      <c r="AI331" s="56"/>
      <c r="AJ331" s="56"/>
    </row>
    <row r="332" customFormat="false" ht="15" hidden="false" customHeight="false" outlineLevel="0" collapsed="false">
      <c r="T332" s="62"/>
      <c r="U332" s="35"/>
      <c r="V332" s="13" t="n">
        <v>-0.0232339667685224</v>
      </c>
      <c r="W332" s="13" t="n">
        <v>0.0707322725635038</v>
      </c>
      <c r="X332" s="13" t="n">
        <f aca="false">PRODUCT(V332:W332)</f>
        <v>-0.00164339127020252</v>
      </c>
      <c r="Y332" s="56"/>
      <c r="Z332" s="56"/>
      <c r="AA332" s="56"/>
      <c r="AB332" s="56"/>
      <c r="AC332" s="57"/>
      <c r="AD332" s="56"/>
      <c r="AE332" s="56"/>
      <c r="AF332" s="56"/>
      <c r="AG332" s="56"/>
      <c r="AH332" s="56"/>
      <c r="AI332" s="56"/>
      <c r="AJ332" s="56"/>
    </row>
    <row r="333" customFormat="false" ht="15" hidden="false" customHeight="false" outlineLevel="0" collapsed="false">
      <c r="T333" s="62"/>
      <c r="U333" s="35" t="s">
        <v>25</v>
      </c>
      <c r="V333" s="12" t="n">
        <f aca="false" t="array" ref="V333:V353">'Data Gathering and ect'!F74:F94</f>
        <v>-0.000286358642627604</v>
      </c>
      <c r="W333" s="12" t="n">
        <f aca="false" t="array" ref="W333:W353">'Data Gathering and ect'!F137:F157</f>
        <v>-0.0165751114762571</v>
      </c>
      <c r="X333" s="12" t="n">
        <f aca="false">PRODUCT(V333:W333)</f>
        <v>4.7464264237422E-006</v>
      </c>
      <c r="Y333" s="43" t="n">
        <f aca="false">SUM(V333:V353)</f>
        <v>0.0794021395412607</v>
      </c>
      <c r="Z333" s="43" t="n">
        <f aca="false">SUM(W333:W353)</f>
        <v>-0.203461465269248</v>
      </c>
      <c r="AA333" s="43" t="n">
        <f aca="false">SUM(X333:X353)</f>
        <v>0.00277549000389087</v>
      </c>
      <c r="AB333" s="43" t="n">
        <f aca="false">Y333*Z333</f>
        <v>-0.0161552756565782</v>
      </c>
      <c r="AC333" s="43" t="n">
        <f aca="false">COUNT(V333:V353)</f>
        <v>21</v>
      </c>
      <c r="AD333" s="43" t="n">
        <f aca="false" t="array" ref="AD333:AD333">SUM(POWER(V333:V353,2))</f>
        <v>0.0376246639810753</v>
      </c>
      <c r="AE333" s="43" t="n">
        <f aca="false" t="array" ref="AE333:AE333">SUM(POWER(W333:W353,2))</f>
        <v>0.00851291255220964</v>
      </c>
      <c r="AF333" s="43" t="n">
        <f aca="false">(AA333*AC333)-(AB333)</f>
        <v>0.0744405657382864</v>
      </c>
      <c r="AG333" s="43" t="n">
        <f aca="false">(AC333*AD333)-(POWER(Y333,2))</f>
        <v>0.783813243838851</v>
      </c>
      <c r="AH333" s="43" t="n">
        <f aca="false">(AC333*AE333)-(POWER(Z333,2))</f>
        <v>0.137374595746893</v>
      </c>
      <c r="AI333" s="43" t="n">
        <f aca="false">SQRT(AG333*AH333)</f>
        <v>0.328140255856277</v>
      </c>
      <c r="AJ333" s="43" t="n">
        <f aca="false">AF333 / AI333</f>
        <v>0.226855938610869</v>
      </c>
    </row>
    <row r="334" customFormat="false" ht="15" hidden="false" customHeight="false" outlineLevel="0" collapsed="false">
      <c r="T334" s="62"/>
      <c r="U334" s="35"/>
      <c r="V334" s="12" t="n">
        <v>0.0886129681522299</v>
      </c>
      <c r="W334" s="12" t="n">
        <v>-0.00736726044012492</v>
      </c>
      <c r="X334" s="12" t="n">
        <f aca="false">PRODUCT(V334:W334)</f>
        <v>-0.000652834814749973</v>
      </c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</row>
    <row r="335" customFormat="false" ht="15" hidden="false" customHeight="false" outlineLevel="0" collapsed="false">
      <c r="T335" s="62"/>
      <c r="U335" s="35"/>
      <c r="V335" s="12" t="n">
        <v>-0.031920716000073</v>
      </c>
      <c r="W335" s="12" t="n">
        <v>-0.0204525945600373</v>
      </c>
      <c r="X335" s="12" t="n">
        <f aca="false">PRODUCT(V335:W335)</f>
        <v>0.000652861462415589</v>
      </c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</row>
    <row r="336" customFormat="false" ht="15" hidden="false" customHeight="false" outlineLevel="0" collapsed="false">
      <c r="T336" s="62"/>
      <c r="U336" s="35"/>
      <c r="V336" s="12" t="n">
        <v>0.028864219000841</v>
      </c>
      <c r="W336" s="12" t="n">
        <v>-0.00486105117769142</v>
      </c>
      <c r="X336" s="12" t="n">
        <f aca="false">PRODUCT(V336:W336)</f>
        <v>-0.000140310445767181</v>
      </c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</row>
    <row r="337" customFormat="false" ht="15" hidden="false" customHeight="false" outlineLevel="0" collapsed="false">
      <c r="T337" s="62"/>
      <c r="U337" s="35"/>
      <c r="V337" s="12" t="n">
        <v>0.00624475610456798</v>
      </c>
      <c r="W337" s="12" t="n">
        <v>-0.0547353984417978</v>
      </c>
      <c r="X337" s="12" t="n">
        <f aca="false">PRODUCT(V337:W337)</f>
        <v>-0.000341809213555378</v>
      </c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</row>
    <row r="338" customFormat="false" ht="15" hidden="false" customHeight="false" outlineLevel="0" collapsed="false">
      <c r="T338" s="62"/>
      <c r="U338" s="35"/>
      <c r="V338" s="12" t="n">
        <v>-0.0124703762064406</v>
      </c>
      <c r="W338" s="12" t="n">
        <v>0.00370001424487398</v>
      </c>
      <c r="X338" s="12" t="n">
        <f aca="false">PRODUCT(V338:W338)</f>
        <v>-4.61405696027678E-005</v>
      </c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</row>
    <row r="339" customFormat="false" ht="15" hidden="false" customHeight="false" outlineLevel="0" collapsed="false">
      <c r="T339" s="62"/>
      <c r="U339" s="35"/>
      <c r="V339" s="12" t="n">
        <v>0.00282911583851941</v>
      </c>
      <c r="W339" s="12" t="n">
        <v>0.0139810677216499</v>
      </c>
      <c r="X339" s="12" t="n">
        <f aca="false">PRODUCT(V339:W339)</f>
        <v>3.95540601307322E-005</v>
      </c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</row>
    <row r="340" customFormat="false" ht="15" hidden="false" customHeight="false" outlineLevel="0" collapsed="false">
      <c r="T340" s="62"/>
      <c r="U340" s="35"/>
      <c r="V340" s="12" t="n">
        <v>0.0216272062325444</v>
      </c>
      <c r="W340" s="12" t="n">
        <v>0.0116891668292016</v>
      </c>
      <c r="X340" s="12" t="n">
        <f aca="false">PRODUCT(V340:W340)</f>
        <v>0.00025280402170176</v>
      </c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</row>
    <row r="341" customFormat="false" ht="15" hidden="false" customHeight="false" outlineLevel="0" collapsed="false">
      <c r="T341" s="62"/>
      <c r="U341" s="35"/>
      <c r="V341" s="12" t="n">
        <v>0.116447817978472</v>
      </c>
      <c r="W341" s="12" t="n">
        <v>-0.0191718528169549</v>
      </c>
      <c r="X341" s="12" t="n">
        <f aca="false">PRODUCT(V341:W341)</f>
        <v>-0.00223252042713882</v>
      </c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</row>
    <row r="342" customFormat="false" ht="15" hidden="false" customHeight="false" outlineLevel="0" collapsed="false">
      <c r="T342" s="62"/>
      <c r="U342" s="35"/>
      <c r="V342" s="12" t="n">
        <v>0.0341490725846221</v>
      </c>
      <c r="W342" s="12" t="n">
        <v>0.00884031632294757</v>
      </c>
      <c r="X342" s="12" t="n">
        <f aca="false">PRODUCT(V342:W342)</f>
        <v>0.000301888603783356</v>
      </c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</row>
    <row r="343" customFormat="false" ht="15" hidden="false" customHeight="false" outlineLevel="0" collapsed="false">
      <c r="T343" s="62"/>
      <c r="U343" s="35"/>
      <c r="V343" s="12" t="n">
        <v>-0.0228233473750326</v>
      </c>
      <c r="W343" s="12" t="n">
        <v>-0.00665123850344251</v>
      </c>
      <c r="X343" s="12" t="n">
        <f aca="false">PRODUCT(V343:W343)</f>
        <v>0.00015180352683826</v>
      </c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</row>
    <row r="344" customFormat="false" ht="15" hidden="false" customHeight="false" outlineLevel="0" collapsed="false">
      <c r="T344" s="62"/>
      <c r="U344" s="35"/>
      <c r="V344" s="12" t="n">
        <v>-0.0443424840431756</v>
      </c>
      <c r="W344" s="12" t="n">
        <v>-0.0355662761910942</v>
      </c>
      <c r="X344" s="12" t="n">
        <f aca="false">PRODUCT(V344:W344)</f>
        <v>0.00157709703447877</v>
      </c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</row>
    <row r="345" customFormat="false" ht="15" hidden="false" customHeight="false" outlineLevel="0" collapsed="false">
      <c r="T345" s="62"/>
      <c r="U345" s="35"/>
      <c r="V345" s="12" t="n">
        <v>-0.014073186380255</v>
      </c>
      <c r="W345" s="12" t="n">
        <v>-0.00755542964234834</v>
      </c>
      <c r="X345" s="12" t="n">
        <f aca="false">PRODUCT(V345:W345)</f>
        <v>0.000106328969539672</v>
      </c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</row>
    <row r="346" customFormat="false" ht="15" hidden="false" customHeight="false" outlineLevel="0" collapsed="false">
      <c r="T346" s="62"/>
      <c r="U346" s="35"/>
      <c r="V346" s="12" t="n">
        <v>0.0372144380073269</v>
      </c>
      <c r="W346" s="12" t="n">
        <v>0.0189202907574124</v>
      </c>
      <c r="X346" s="12" t="n">
        <f aca="false">PRODUCT(V346:W346)</f>
        <v>0.000704107987472324</v>
      </c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</row>
    <row r="347" customFormat="false" ht="15" hidden="false" customHeight="false" outlineLevel="0" collapsed="false">
      <c r="T347" s="62"/>
      <c r="U347" s="35"/>
      <c r="V347" s="12" t="n">
        <v>-0.0299717608209775</v>
      </c>
      <c r="W347" s="12" t="n">
        <v>-0.00322414644134916</v>
      </c>
      <c r="X347" s="12" t="n">
        <f aca="false">PRODUCT(V347:W347)</f>
        <v>9.66333459919228E-005</v>
      </c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</row>
    <row r="348" customFormat="false" ht="15" hidden="false" customHeight="false" outlineLevel="0" collapsed="false">
      <c r="T348" s="62"/>
      <c r="U348" s="35"/>
      <c r="V348" s="12" t="n">
        <v>0.0333294633804524</v>
      </c>
      <c r="W348" s="12" t="n">
        <v>-0.0163826280142114</v>
      </c>
      <c r="X348" s="12" t="n">
        <f aca="false">PRODUCT(V348:W348)</f>
        <v>-0.000546024200475233</v>
      </c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</row>
    <row r="349" customFormat="false" ht="15" hidden="false" customHeight="false" outlineLevel="0" collapsed="false">
      <c r="T349" s="62"/>
      <c r="U349" s="35"/>
      <c r="V349" s="12" t="n">
        <v>0.000791283978168522</v>
      </c>
      <c r="W349" s="12" t="n">
        <v>8.30905482125388E-005</v>
      </c>
      <c r="X349" s="12" t="n">
        <f aca="false">PRODUCT(V349:W349)</f>
        <v>6.57482195378211E-008</v>
      </c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</row>
    <row r="350" customFormat="false" ht="15" hidden="false" customHeight="false" outlineLevel="0" collapsed="false">
      <c r="T350" s="62"/>
      <c r="U350" s="35"/>
      <c r="V350" s="12" t="n">
        <v>-0.0135355302841944</v>
      </c>
      <c r="W350" s="12" t="n">
        <v>0.000705513872944152</v>
      </c>
      <c r="X350" s="12" t="n">
        <f aca="false">PRODUCT(V350:W350)</f>
        <v>-9.54950439315485E-006</v>
      </c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</row>
    <row r="351" customFormat="false" ht="15" hidden="false" customHeight="false" outlineLevel="0" collapsed="false">
      <c r="T351" s="62"/>
      <c r="U351" s="35"/>
      <c r="V351" s="12" t="n">
        <v>-0.0393069847338516</v>
      </c>
      <c r="W351" s="12" t="n">
        <v>-0.0385239364907335</v>
      </c>
      <c r="X351" s="12" t="n">
        <f aca="false">PRODUCT(V351:W351)</f>
        <v>0.00151425978352913</v>
      </c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</row>
    <row r="352" customFormat="false" ht="15" hidden="false" customHeight="false" outlineLevel="0" collapsed="false">
      <c r="T352" s="62"/>
      <c r="U352" s="35"/>
      <c r="V352" s="12" t="n">
        <v>-0.0670216961664512</v>
      </c>
      <c r="W352" s="12" t="n">
        <v>-0.0170775622471133</v>
      </c>
      <c r="X352" s="12" t="n">
        <f aca="false">PRODUCT(V352:W352)</f>
        <v>0.00114456718818969</v>
      </c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</row>
    <row r="353" customFormat="false" ht="15" hidden="false" customHeight="false" outlineLevel="0" collapsed="false">
      <c r="T353" s="62"/>
      <c r="U353" s="35"/>
      <c r="V353" s="12" t="n">
        <v>-0.0149557610634048</v>
      </c>
      <c r="W353" s="12" t="n">
        <v>-0.0132364391233342</v>
      </c>
      <c r="X353" s="12" t="n">
        <f aca="false">PRODUCT(V353:W353)</f>
        <v>0.00019796102085889</v>
      </c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</row>
    <row r="354" customFormat="false" ht="15" hidden="false" customHeight="false" outlineLevel="0" collapsed="false">
      <c r="T354" s="62"/>
      <c r="U354" s="35"/>
      <c r="V354" s="13" t="n">
        <f aca="false" t="array" ref="V354:V379">'Data Gathering and ect'!F95:F120</f>
        <v>-0.0689425876158651</v>
      </c>
      <c r="W354" s="13" t="n">
        <f aca="false" t="array" ref="W354:W379">'Data Gathering and ect'!F158:F183</f>
        <v>-0.023361829288616</v>
      </c>
      <c r="X354" s="13" t="n">
        <f aca="false">PRODUCT(V354:W354)</f>
        <v>0.00161062496259729</v>
      </c>
      <c r="Y354" s="56" t="n">
        <f aca="false">SUM(V354:V379)</f>
        <v>-0.61308183766856</v>
      </c>
      <c r="Z354" s="56" t="n">
        <f aca="false">SUM(W354:W379)</f>
        <v>-0.291079031091748</v>
      </c>
      <c r="AA354" s="56" t="n">
        <f aca="false">SUM(X354:X379)</f>
        <v>0.103813680225092</v>
      </c>
      <c r="AB354" s="56" t="n">
        <f aca="false">Y354*Z354</f>
        <v>0.178455267288513</v>
      </c>
      <c r="AC354" s="57" t="n">
        <f aca="false">COUNT(V354:V379)</f>
        <v>26</v>
      </c>
      <c r="AD354" s="56" t="n">
        <f aca="false" t="array" ref="AD354:AD354">SUM(POWER(V354:V379,2))</f>
        <v>0.179084733445403</v>
      </c>
      <c r="AE354" s="56" t="n">
        <f aca="false" t="array" ref="AE354:AE354">SUM(POWER(W354:W379,2))</f>
        <v>0.089643219554737</v>
      </c>
      <c r="AF354" s="56" t="n">
        <f aca="false">(AA354*AC354)-(AB354)</f>
        <v>2.52070041856388</v>
      </c>
      <c r="AG354" s="56" t="n">
        <f aca="false">(AC354*AD354)-(POWER(Y354,2))</f>
        <v>4.28033372990141</v>
      </c>
      <c r="AH354" s="56" t="n">
        <f aca="false">(AC354*AE354)-(POWER(Z354,2))</f>
        <v>2.24599670608185</v>
      </c>
      <c r="AI354" s="56" t="n">
        <f aca="false">SQRT(AG354*AH354)</f>
        <v>3.10058308359728</v>
      </c>
      <c r="AJ354" s="56" t="n">
        <f aca="false">AF354 / AI354</f>
        <v>0.812976253369536</v>
      </c>
    </row>
    <row r="355" customFormat="false" ht="15" hidden="false" customHeight="false" outlineLevel="0" collapsed="false">
      <c r="T355" s="62"/>
      <c r="U355" s="35"/>
      <c r="V355" s="13" t="n">
        <v>0.000525301944326984</v>
      </c>
      <c r="W355" s="13" t="n">
        <v>0.0172900497344681</v>
      </c>
      <c r="X355" s="13" t="n">
        <f aca="false">PRODUCT(V355:W355)</f>
        <v>9.08249674302635E-006</v>
      </c>
      <c r="Y355" s="56"/>
      <c r="Z355" s="56"/>
      <c r="AA355" s="56"/>
      <c r="AB355" s="56"/>
      <c r="AC355" s="57"/>
      <c r="AD355" s="56"/>
      <c r="AE355" s="56"/>
      <c r="AF355" s="56"/>
      <c r="AG355" s="56"/>
      <c r="AH355" s="56"/>
      <c r="AI355" s="56"/>
      <c r="AJ355" s="56"/>
    </row>
    <row r="356" customFormat="false" ht="15" hidden="false" customHeight="false" outlineLevel="0" collapsed="false">
      <c r="T356" s="62"/>
      <c r="U356" s="35"/>
      <c r="V356" s="13" t="n">
        <v>0.00864171857069351</v>
      </c>
      <c r="W356" s="13" t="n">
        <v>-0.0371437596592941</v>
      </c>
      <c r="X356" s="13" t="n">
        <f aca="false">PRODUCT(V356:W356)</f>
        <v>-0.000320985917633098</v>
      </c>
      <c r="Y356" s="56"/>
      <c r="Z356" s="56"/>
      <c r="AA356" s="56"/>
      <c r="AB356" s="56"/>
      <c r="AC356" s="57"/>
      <c r="AD356" s="56"/>
      <c r="AE356" s="56"/>
      <c r="AF356" s="56"/>
      <c r="AG356" s="56"/>
      <c r="AH356" s="56"/>
      <c r="AI356" s="56"/>
      <c r="AJ356" s="56"/>
    </row>
    <row r="357" customFormat="false" ht="15" hidden="false" customHeight="false" outlineLevel="0" collapsed="false">
      <c r="T357" s="62"/>
      <c r="U357" s="35"/>
      <c r="V357" s="13" t="n">
        <v>0.0644714611014319</v>
      </c>
      <c r="W357" s="13" t="n">
        <v>0.0281537601797357</v>
      </c>
      <c r="X357" s="13" t="n">
        <f aca="false">PRODUCT(V357:W357)</f>
        <v>0.00181511405428687</v>
      </c>
      <c r="Y357" s="56"/>
      <c r="Z357" s="56"/>
      <c r="AA357" s="56"/>
      <c r="AB357" s="56"/>
      <c r="AC357" s="57"/>
      <c r="AD357" s="56"/>
      <c r="AE357" s="56"/>
      <c r="AF357" s="56"/>
      <c r="AG357" s="56"/>
      <c r="AH357" s="56"/>
      <c r="AI357" s="56"/>
      <c r="AJ357" s="56"/>
    </row>
    <row r="358" customFormat="false" ht="15" hidden="false" customHeight="false" outlineLevel="0" collapsed="false">
      <c r="T358" s="62"/>
      <c r="U358" s="35"/>
      <c r="V358" s="13" t="n">
        <v>-0.00884026724462572</v>
      </c>
      <c r="W358" s="13" t="n">
        <v>0.00507985634745367</v>
      </c>
      <c r="X358" s="13" t="n">
        <f aca="false">PRODUCT(V358:W358)</f>
        <v>-4.49072876757987E-005</v>
      </c>
      <c r="Y358" s="56"/>
      <c r="Z358" s="56"/>
      <c r="AA358" s="56"/>
      <c r="AB358" s="56"/>
      <c r="AC358" s="57"/>
      <c r="AD358" s="56"/>
      <c r="AE358" s="56"/>
      <c r="AF358" s="56"/>
      <c r="AG358" s="56"/>
      <c r="AH358" s="56"/>
      <c r="AI358" s="56"/>
      <c r="AJ358" s="56"/>
    </row>
    <row r="359" customFormat="false" ht="15" hidden="false" customHeight="false" outlineLevel="0" collapsed="false">
      <c r="T359" s="62"/>
      <c r="U359" s="35"/>
      <c r="V359" s="13" t="n">
        <v>0.0107736465310566</v>
      </c>
      <c r="W359" s="13" t="n">
        <v>-0.0335655926492908</v>
      </c>
      <c r="X359" s="13" t="n">
        <f aca="false">PRODUCT(V359:W359)</f>
        <v>-0.000361623830808891</v>
      </c>
      <c r="Y359" s="56"/>
      <c r="Z359" s="56"/>
      <c r="AA359" s="56"/>
      <c r="AB359" s="56"/>
      <c r="AC359" s="57"/>
      <c r="AD359" s="56"/>
      <c r="AE359" s="56"/>
      <c r="AF359" s="56"/>
      <c r="AG359" s="56"/>
      <c r="AH359" s="56"/>
      <c r="AI359" s="56"/>
      <c r="AJ359" s="56"/>
    </row>
    <row r="360" customFormat="false" ht="15" hidden="false" customHeight="false" outlineLevel="0" collapsed="false">
      <c r="T360" s="62"/>
      <c r="U360" s="35"/>
      <c r="V360" s="13" t="n">
        <v>0.00441691993237292</v>
      </c>
      <c r="W360" s="13" t="n">
        <v>0.0119882549233612</v>
      </c>
      <c r="X360" s="13" t="n">
        <f aca="false">PRODUCT(V360:W360)</f>
        <v>5.29511621253619E-005</v>
      </c>
      <c r="Y360" s="56"/>
      <c r="Z360" s="56"/>
      <c r="AA360" s="56"/>
      <c r="AB360" s="56"/>
      <c r="AC360" s="57"/>
      <c r="AD360" s="56"/>
      <c r="AE360" s="56"/>
      <c r="AF360" s="56"/>
      <c r="AG360" s="56"/>
      <c r="AH360" s="56"/>
      <c r="AI360" s="56"/>
      <c r="AJ360" s="56"/>
    </row>
    <row r="361" customFormat="false" ht="15" hidden="false" customHeight="false" outlineLevel="0" collapsed="false">
      <c r="T361" s="62"/>
      <c r="U361" s="35"/>
      <c r="V361" s="13" t="n">
        <v>-0.0217663815648557</v>
      </c>
      <c r="W361" s="13" t="n">
        <v>0.0261701880295817</v>
      </c>
      <c r="X361" s="13" t="n">
        <f aca="false">PRODUCT(V361:W361)</f>
        <v>-0.000569630298275894</v>
      </c>
      <c r="Y361" s="56"/>
      <c r="Z361" s="56"/>
      <c r="AA361" s="56"/>
      <c r="AB361" s="56"/>
      <c r="AC361" s="57"/>
      <c r="AD361" s="56"/>
      <c r="AE361" s="56"/>
      <c r="AF361" s="56"/>
      <c r="AG361" s="56"/>
      <c r="AH361" s="56"/>
      <c r="AI361" s="56"/>
      <c r="AJ361" s="56"/>
    </row>
    <row r="362" customFormat="false" ht="15" hidden="false" customHeight="false" outlineLevel="0" collapsed="false">
      <c r="T362" s="62"/>
      <c r="U362" s="35"/>
      <c r="V362" s="13" t="n">
        <v>-0.0390198846963248</v>
      </c>
      <c r="W362" s="13" t="n">
        <v>-0.086624891430251</v>
      </c>
      <c r="X362" s="13" t="n">
        <f aca="false">PRODUCT(V362:W362)</f>
        <v>0.00338009327544005</v>
      </c>
      <c r="Y362" s="56"/>
      <c r="Z362" s="56"/>
      <c r="AA362" s="56"/>
      <c r="AB362" s="56"/>
      <c r="AC362" s="57"/>
      <c r="AD362" s="56"/>
      <c r="AE362" s="56"/>
      <c r="AF362" s="56"/>
      <c r="AG362" s="56"/>
      <c r="AH362" s="56"/>
      <c r="AI362" s="56"/>
      <c r="AJ362" s="56"/>
    </row>
    <row r="363" customFormat="false" ht="15" hidden="false" customHeight="false" outlineLevel="0" collapsed="false">
      <c r="T363" s="62"/>
      <c r="U363" s="35"/>
      <c r="V363" s="13" t="n">
        <v>-0.0371937628734642</v>
      </c>
      <c r="W363" s="13" t="n">
        <v>0.0513667456357858</v>
      </c>
      <c r="X363" s="13" t="n">
        <f aca="false">PRODUCT(V363:W363)</f>
        <v>-0.00191052255675897</v>
      </c>
      <c r="Y363" s="56"/>
      <c r="Z363" s="56"/>
      <c r="AA363" s="56"/>
      <c r="AB363" s="56"/>
      <c r="AC363" s="57"/>
      <c r="AD363" s="56"/>
      <c r="AE363" s="56"/>
      <c r="AF363" s="56"/>
      <c r="AG363" s="56"/>
      <c r="AH363" s="56"/>
      <c r="AI363" s="56"/>
      <c r="AJ363" s="56"/>
    </row>
    <row r="364" customFormat="false" ht="15" hidden="false" customHeight="false" outlineLevel="0" collapsed="false">
      <c r="T364" s="62"/>
      <c r="U364" s="35"/>
      <c r="V364" s="13" t="n">
        <v>-0.0449913194219143</v>
      </c>
      <c r="W364" s="13" t="n">
        <v>-0.0496645241573237</v>
      </c>
      <c r="X364" s="13" t="n">
        <f aca="false">PRODUCT(V364:W364)</f>
        <v>0.00223447247029953</v>
      </c>
      <c r="Y364" s="56"/>
      <c r="Z364" s="56"/>
      <c r="AA364" s="56"/>
      <c r="AB364" s="56"/>
      <c r="AC364" s="57"/>
      <c r="AD364" s="56"/>
      <c r="AE364" s="56"/>
      <c r="AF364" s="56"/>
      <c r="AG364" s="56"/>
      <c r="AH364" s="56"/>
      <c r="AI364" s="56"/>
      <c r="AJ364" s="56"/>
    </row>
    <row r="365" customFormat="false" ht="15" hidden="false" customHeight="false" outlineLevel="0" collapsed="false">
      <c r="T365" s="62"/>
      <c r="U365" s="35"/>
      <c r="V365" s="13" t="n">
        <v>0.00399561099786183</v>
      </c>
      <c r="W365" s="13" t="n">
        <v>0.00562836665612387</v>
      </c>
      <c r="X365" s="13" t="n">
        <f aca="false">PRODUCT(V365:W365)</f>
        <v>2.24887637112073E-005</v>
      </c>
      <c r="Y365" s="56"/>
      <c r="Z365" s="56"/>
      <c r="AA365" s="56"/>
      <c r="AB365" s="56"/>
      <c r="AC365" s="57"/>
      <c r="AD365" s="56"/>
      <c r="AE365" s="56"/>
      <c r="AF365" s="56"/>
      <c r="AG365" s="56"/>
      <c r="AH365" s="56"/>
      <c r="AI365" s="56"/>
      <c r="AJ365" s="56"/>
    </row>
    <row r="366" customFormat="false" ht="15" hidden="false" customHeight="false" outlineLevel="0" collapsed="false">
      <c r="T366" s="62"/>
      <c r="U366" s="35"/>
      <c r="V366" s="13" t="n">
        <v>-0.0939446476819228</v>
      </c>
      <c r="W366" s="13" t="n">
        <v>-0.0733491729754263</v>
      </c>
      <c r="X366" s="13" t="n">
        <f aca="false">PRODUCT(V366:W366)</f>
        <v>0.00689076221293684</v>
      </c>
      <c r="Y366" s="56"/>
      <c r="Z366" s="56"/>
      <c r="AA366" s="56"/>
      <c r="AB366" s="56"/>
      <c r="AC366" s="57"/>
      <c r="AD366" s="56"/>
      <c r="AE366" s="56"/>
      <c r="AF366" s="56"/>
      <c r="AG366" s="56"/>
      <c r="AH366" s="56"/>
      <c r="AI366" s="56"/>
      <c r="AJ366" s="56"/>
    </row>
    <row r="367" customFormat="false" ht="15" hidden="false" customHeight="false" outlineLevel="0" collapsed="false">
      <c r="T367" s="62"/>
      <c r="U367" s="35"/>
      <c r="V367" s="13" t="n">
        <v>-0.0266611252950337</v>
      </c>
      <c r="W367" s="13" t="n">
        <v>-0.0288392613724096</v>
      </c>
      <c r="X367" s="13" t="n">
        <f aca="false">PRODUCT(V367:W367)</f>
        <v>0.000768887160866038</v>
      </c>
      <c r="Y367" s="56"/>
      <c r="Z367" s="56"/>
      <c r="AA367" s="56"/>
      <c r="AB367" s="56"/>
      <c r="AC367" s="57"/>
      <c r="AD367" s="56"/>
      <c r="AE367" s="56"/>
      <c r="AF367" s="56"/>
      <c r="AG367" s="56"/>
      <c r="AH367" s="56"/>
      <c r="AI367" s="56"/>
      <c r="AJ367" s="56"/>
    </row>
    <row r="368" customFormat="false" ht="15" hidden="false" customHeight="false" outlineLevel="0" collapsed="false">
      <c r="T368" s="62"/>
      <c r="U368" s="35"/>
      <c r="V368" s="13" t="n">
        <v>-0.284180143237627</v>
      </c>
      <c r="W368" s="13" t="n">
        <v>-0.137582112305408</v>
      </c>
      <c r="X368" s="13" t="n">
        <f aca="false">PRODUCT(V368:W368)</f>
        <v>0.0390981043818861</v>
      </c>
      <c r="Y368" s="56"/>
      <c r="Z368" s="56"/>
      <c r="AA368" s="56"/>
      <c r="AB368" s="56"/>
      <c r="AC368" s="57"/>
      <c r="AD368" s="56"/>
      <c r="AE368" s="56"/>
      <c r="AF368" s="56"/>
      <c r="AG368" s="56"/>
      <c r="AH368" s="56"/>
      <c r="AI368" s="56"/>
      <c r="AJ368" s="56"/>
    </row>
    <row r="369" customFormat="false" ht="15" hidden="false" customHeight="false" outlineLevel="0" collapsed="false">
      <c r="T369" s="62"/>
      <c r="U369" s="35"/>
      <c r="V369" s="13" t="n">
        <v>-0.232914983408913</v>
      </c>
      <c r="W369" s="13" t="n">
        <v>-0.160490109664439</v>
      </c>
      <c r="X369" s="13" t="n">
        <f aca="false">PRODUCT(V369:W369)</f>
        <v>0.0373805512297874</v>
      </c>
      <c r="Y369" s="56"/>
      <c r="Z369" s="56"/>
      <c r="AA369" s="56"/>
      <c r="AB369" s="56"/>
      <c r="AC369" s="57"/>
      <c r="AD369" s="56"/>
      <c r="AE369" s="56"/>
      <c r="AF369" s="56"/>
      <c r="AG369" s="56"/>
      <c r="AH369" s="56"/>
      <c r="AI369" s="56"/>
      <c r="AJ369" s="56"/>
    </row>
    <row r="370" customFormat="false" ht="15" hidden="false" customHeight="false" outlineLevel="0" collapsed="false">
      <c r="T370" s="62"/>
      <c r="U370" s="35"/>
      <c r="V370" s="13" t="n">
        <v>0.0910421215789228</v>
      </c>
      <c r="W370" s="13" t="n">
        <v>0.0297539369524458</v>
      </c>
      <c r="X370" s="13" t="n">
        <f aca="false">PRODUCT(V370:W370)</f>
        <v>0.00270886154547617</v>
      </c>
      <c r="Y370" s="56"/>
      <c r="Z370" s="56"/>
      <c r="AA370" s="56"/>
      <c r="AB370" s="56"/>
      <c r="AC370" s="57"/>
      <c r="AD370" s="56"/>
      <c r="AE370" s="56"/>
      <c r="AF370" s="56"/>
      <c r="AG370" s="56"/>
      <c r="AH370" s="56"/>
      <c r="AI370" s="56"/>
      <c r="AJ370" s="56"/>
    </row>
    <row r="371" customFormat="false" ht="15" hidden="false" customHeight="false" outlineLevel="0" collapsed="false">
      <c r="T371" s="62"/>
      <c r="U371" s="35"/>
      <c r="V371" s="13" t="n">
        <v>0.0381187997584291</v>
      </c>
      <c r="W371" s="13" t="n">
        <v>0.0363105150162877</v>
      </c>
      <c r="X371" s="13" t="n">
        <f aca="false">PRODUCT(V371:W371)</f>
        <v>0.0013841132510313</v>
      </c>
      <c r="Y371" s="56"/>
      <c r="Z371" s="56"/>
      <c r="AA371" s="56"/>
      <c r="AB371" s="56"/>
      <c r="AC371" s="57"/>
      <c r="AD371" s="56"/>
      <c r="AE371" s="56"/>
      <c r="AF371" s="56"/>
      <c r="AG371" s="56"/>
      <c r="AH371" s="56"/>
      <c r="AI371" s="56"/>
      <c r="AJ371" s="56"/>
    </row>
    <row r="372" customFormat="false" ht="15" hidden="false" customHeight="false" outlineLevel="0" collapsed="false">
      <c r="T372" s="62"/>
      <c r="U372" s="35"/>
      <c r="V372" s="13" t="n">
        <v>0.0137695686909982</v>
      </c>
      <c r="W372" s="13" t="n">
        <v>0.0947155701478657</v>
      </c>
      <c r="X372" s="13" t="n">
        <f aca="false">PRODUCT(V372:W372)</f>
        <v>0.0013041925492581</v>
      </c>
      <c r="Y372" s="56"/>
      <c r="Z372" s="56"/>
      <c r="AA372" s="56"/>
      <c r="AB372" s="56"/>
      <c r="AC372" s="57"/>
      <c r="AD372" s="56"/>
      <c r="AE372" s="56"/>
      <c r="AF372" s="56"/>
      <c r="AG372" s="56"/>
      <c r="AH372" s="56"/>
      <c r="AI372" s="56"/>
      <c r="AJ372" s="56"/>
    </row>
    <row r="373" customFormat="false" ht="15" hidden="false" customHeight="false" outlineLevel="0" collapsed="false">
      <c r="T373" s="62"/>
      <c r="U373" s="35"/>
      <c r="V373" s="13" t="n">
        <v>0.081575379710717</v>
      </c>
      <c r="W373" s="13" t="n">
        <v>0.0674655061903415</v>
      </c>
      <c r="X373" s="13" t="n">
        <f aca="false">PRODUCT(V373:W373)</f>
        <v>0.00550352428485284</v>
      </c>
      <c r="Y373" s="56"/>
      <c r="Z373" s="56"/>
      <c r="AA373" s="56"/>
      <c r="AB373" s="56"/>
      <c r="AC373" s="57"/>
      <c r="AD373" s="56"/>
      <c r="AE373" s="56"/>
      <c r="AF373" s="56"/>
      <c r="AG373" s="56"/>
      <c r="AH373" s="56"/>
      <c r="AI373" s="56"/>
      <c r="AJ373" s="56"/>
    </row>
    <row r="374" customFormat="false" ht="15" hidden="false" customHeight="false" outlineLevel="0" collapsed="false">
      <c r="T374" s="62"/>
      <c r="U374" s="35"/>
      <c r="V374" s="13" t="n">
        <v>-0.0206393287696578</v>
      </c>
      <c r="W374" s="13" t="n">
        <v>-0.0483760468566938</v>
      </c>
      <c r="X374" s="13" t="n">
        <f aca="false">PRODUCT(V374:W374)</f>
        <v>0.000998449135651674</v>
      </c>
      <c r="Y374" s="56"/>
      <c r="Z374" s="56"/>
      <c r="AA374" s="56"/>
      <c r="AB374" s="56"/>
      <c r="AC374" s="57"/>
      <c r="AD374" s="56"/>
      <c r="AE374" s="56"/>
      <c r="AF374" s="56"/>
      <c r="AG374" s="56"/>
      <c r="AH374" s="56"/>
      <c r="AI374" s="56"/>
      <c r="AJ374" s="56"/>
    </row>
    <row r="375" customFormat="false" ht="15" hidden="false" customHeight="false" outlineLevel="0" collapsed="false">
      <c r="T375" s="62"/>
      <c r="U375" s="35"/>
      <c r="V375" s="13" t="n">
        <v>0.0249706018562534</v>
      </c>
      <c r="W375" s="13" t="n">
        <v>0.036157954797277</v>
      </c>
      <c r="X375" s="13" t="n">
        <f aca="false">PRODUCT(V375:W375)</f>
        <v>0.000902885893179212</v>
      </c>
      <c r="Y375" s="56"/>
      <c r="Z375" s="56"/>
      <c r="AA375" s="56"/>
      <c r="AB375" s="56"/>
      <c r="AC375" s="57"/>
      <c r="AD375" s="56"/>
      <c r="AE375" s="56"/>
      <c r="AF375" s="56"/>
      <c r="AG375" s="56"/>
      <c r="AH375" s="56"/>
      <c r="AI375" s="56"/>
      <c r="AJ375" s="56"/>
    </row>
    <row r="376" customFormat="false" ht="15" hidden="false" customHeight="false" outlineLevel="0" collapsed="false">
      <c r="T376" s="62"/>
      <c r="U376" s="35"/>
      <c r="V376" s="13" t="n">
        <v>-0.0406842233261351</v>
      </c>
      <c r="W376" s="13" t="n">
        <v>-0.0200172877898392</v>
      </c>
      <c r="X376" s="13" t="n">
        <f aca="false">PRODUCT(V376:W376)</f>
        <v>0.000814387806825335</v>
      </c>
      <c r="Y376" s="56"/>
      <c r="Z376" s="56"/>
      <c r="AA376" s="56"/>
      <c r="AB376" s="56"/>
      <c r="AC376" s="57"/>
      <c r="AD376" s="56"/>
      <c r="AE376" s="56"/>
      <c r="AF376" s="56"/>
      <c r="AG376" s="56"/>
      <c r="AH376" s="56"/>
      <c r="AI376" s="56"/>
      <c r="AJ376" s="56"/>
    </row>
    <row r="377" customFormat="false" ht="15" hidden="false" customHeight="false" outlineLevel="0" collapsed="false">
      <c r="T377" s="62"/>
      <c r="U377" s="35"/>
      <c r="V377" s="13" t="n">
        <v>-0.00340559559759157</v>
      </c>
      <c r="W377" s="13" t="n">
        <v>0.0242544516808572</v>
      </c>
      <c r="X377" s="13" t="n">
        <f aca="false">PRODUCT(V377:W377)</f>
        <v>-8.26008538663247E-005</v>
      </c>
      <c r="Y377" s="56"/>
      <c r="Z377" s="56"/>
      <c r="AA377" s="56"/>
      <c r="AB377" s="56"/>
      <c r="AC377" s="57"/>
      <c r="AD377" s="56"/>
      <c r="AE377" s="56"/>
      <c r="AF377" s="56"/>
      <c r="AG377" s="56"/>
      <c r="AH377" s="56"/>
      <c r="AI377" s="56"/>
      <c r="AJ377" s="56"/>
    </row>
    <row r="378" customFormat="false" ht="15" hidden="false" customHeight="false" outlineLevel="0" collapsed="false">
      <c r="T378" s="62"/>
      <c r="U378" s="35"/>
      <c r="V378" s="13" t="n">
        <v>-0.00896475083917103</v>
      </c>
      <c r="W378" s="13" t="n">
        <v>-0.0272588963599887</v>
      </c>
      <c r="X378" s="13" t="n">
        <f aca="false">PRODUCT(V378:W378)</f>
        <v>0.000244369214018085</v>
      </c>
      <c r="Y378" s="56"/>
      <c r="Z378" s="56"/>
      <c r="AA378" s="56"/>
      <c r="AB378" s="56"/>
      <c r="AC378" s="57"/>
      <c r="AD378" s="56"/>
      <c r="AE378" s="56"/>
      <c r="AF378" s="56"/>
      <c r="AG378" s="56"/>
      <c r="AH378" s="56"/>
      <c r="AI378" s="56"/>
      <c r="AJ378" s="56"/>
    </row>
    <row r="379" customFormat="false" ht="15" hidden="false" customHeight="false" outlineLevel="0" collapsed="false">
      <c r="T379" s="62"/>
      <c r="U379" s="35"/>
      <c r="V379" s="13" t="n">
        <v>-0.0232339667685224</v>
      </c>
      <c r="W379" s="13" t="n">
        <v>0.000859297125646918</v>
      </c>
      <c r="X379" s="13" t="n">
        <f aca="false">PRODUCT(V379:W379)</f>
        <v>-1.99648808615673E-005</v>
      </c>
      <c r="Y379" s="56"/>
      <c r="Z379" s="56"/>
      <c r="AA379" s="56"/>
      <c r="AB379" s="56"/>
      <c r="AC379" s="57"/>
      <c r="AD379" s="56"/>
      <c r="AE379" s="56"/>
      <c r="AF379" s="56"/>
      <c r="AG379" s="56"/>
      <c r="AH379" s="56"/>
      <c r="AI379" s="56"/>
      <c r="AJ379" s="56"/>
    </row>
    <row r="380" customFormat="false" ht="15" hidden="false" customHeight="false" outlineLevel="0" collapsed="false">
      <c r="T380" s="62"/>
      <c r="U380" s="63" t="s">
        <v>26</v>
      </c>
      <c r="V380" s="12" t="n">
        <f aca="false" t="array" ref="V380:V400">'Data Gathering and ect'!F74:F94</f>
        <v>-0.000286358642627604</v>
      </c>
      <c r="W380" s="12" t="n">
        <f aca="false" t="array" ref="W380:W400">'Data Gathering and ect'!F264:F284</f>
        <v>-0.00118608226195693</v>
      </c>
      <c r="X380" s="12" t="n">
        <f aca="false">PRODUCT(V380:W380)</f>
        <v>3.39644906578665E-007</v>
      </c>
      <c r="Y380" s="43" t="n">
        <f aca="false">SUM(V380:V400)</f>
        <v>0.0794021395412607</v>
      </c>
      <c r="Z380" s="43" t="n">
        <f aca="false">SUM(W380:W400)</f>
        <v>-0.0920906649431618</v>
      </c>
      <c r="AA380" s="43" t="n">
        <f aca="false">SUM(X380:X400)</f>
        <v>0.000474709696116626</v>
      </c>
      <c r="AB380" s="43" t="n">
        <f aca="false">Y380*Z380</f>
        <v>-0.00731219582826442</v>
      </c>
      <c r="AC380" s="43" t="n">
        <f aca="false">COUNT(V380:V400)</f>
        <v>21</v>
      </c>
      <c r="AD380" s="43" t="n">
        <f aca="false" t="array" ref="AD380:AD380">SUM(POWER(V380:V400,2))</f>
        <v>0.0376246639810753</v>
      </c>
      <c r="AE380" s="43" t="n">
        <f aca="false" t="array" ref="AE380:AE380">SUM(POWER(W380:W400,2))</f>
        <v>0.0052664797019935</v>
      </c>
      <c r="AF380" s="43" t="n">
        <f aca="false">(AA380*AC380)-(AB380)</f>
        <v>0.0172810994467136</v>
      </c>
      <c r="AG380" s="43" t="n">
        <f aca="false">(AC380*AD380)-(POWER(Y380,2))</f>
        <v>0.783813243838851</v>
      </c>
      <c r="AH380" s="43" t="n">
        <f aca="false">(AC380*AE380)-(POWER(Z380,2))</f>
        <v>0.10211538317219</v>
      </c>
      <c r="AI380" s="43" t="n">
        <f aca="false">SQRT(AG380*AH380)</f>
        <v>0.282912335768593</v>
      </c>
      <c r="AJ380" s="43" t="n">
        <f aca="false">AF380 / AI380</f>
        <v>0.0610828771384807</v>
      </c>
    </row>
    <row r="381" customFormat="false" ht="15" hidden="false" customHeight="false" outlineLevel="0" collapsed="false">
      <c r="T381" s="62"/>
      <c r="U381" s="63"/>
      <c r="V381" s="12" t="n">
        <v>0.0886129681522299</v>
      </c>
      <c r="W381" s="12" t="n">
        <v>-0.0070748304198176</v>
      </c>
      <c r="X381" s="12" t="n">
        <f aca="false">PRODUCT(V381:W381)</f>
        <v>-0.000626921722673724</v>
      </c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</row>
    <row r="382" customFormat="false" ht="15" hidden="false" customHeight="false" outlineLevel="0" collapsed="false">
      <c r="T382" s="62"/>
      <c r="U382" s="63"/>
      <c r="V382" s="12" t="n">
        <v>-0.031920716000073</v>
      </c>
      <c r="W382" s="12" t="n">
        <v>-0.0178849923137285</v>
      </c>
      <c r="X382" s="12" t="n">
        <f aca="false">PRODUCT(V382:W382)</f>
        <v>0.000570901760310016</v>
      </c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</row>
    <row r="383" customFormat="false" ht="15" hidden="false" customHeight="false" outlineLevel="0" collapsed="false">
      <c r="T383" s="62"/>
      <c r="U383" s="63"/>
      <c r="V383" s="12" t="n">
        <v>0.028864219000841</v>
      </c>
      <c r="W383" s="12" t="n">
        <v>-0.0237559486668291</v>
      </c>
      <c r="X383" s="12" t="n">
        <f aca="false">PRODUCT(V383:W383)</f>
        <v>-0.000685696904892092</v>
      </c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</row>
    <row r="384" customFormat="false" ht="15" hidden="false" customHeight="false" outlineLevel="0" collapsed="false">
      <c r="T384" s="62"/>
      <c r="U384" s="63"/>
      <c r="V384" s="12" t="n">
        <v>0.00624475610456798</v>
      </c>
      <c r="W384" s="12" t="n">
        <v>-0.0134366753469051</v>
      </c>
      <c r="X384" s="12" t="n">
        <f aca="false">PRODUCT(V384:W384)</f>
        <v>-8.39087603976837E-005</v>
      </c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</row>
    <row r="385" customFormat="false" ht="15" hidden="false" customHeight="false" outlineLevel="0" collapsed="false">
      <c r="T385" s="62"/>
      <c r="U385" s="63"/>
      <c r="V385" s="12" t="n">
        <v>-0.0124703762064406</v>
      </c>
      <c r="W385" s="12" t="n">
        <v>-0.0143906496789743</v>
      </c>
      <c r="X385" s="12" t="n">
        <f aca="false">PRODUCT(V385:W385)</f>
        <v>0.000179456815351903</v>
      </c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</row>
    <row r="386" customFormat="false" ht="15" hidden="false" customHeight="false" outlineLevel="0" collapsed="false">
      <c r="T386" s="62"/>
      <c r="U386" s="63"/>
      <c r="V386" s="12" t="n">
        <v>0.00282911583851941</v>
      </c>
      <c r="W386" s="12" t="n">
        <v>0.0133219645627412</v>
      </c>
      <c r="X386" s="12" t="n">
        <f aca="false">PRODUCT(V386:W386)</f>
        <v>3.76893809446454E-005</v>
      </c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</row>
    <row r="387" customFormat="false" ht="15" hidden="false" customHeight="false" outlineLevel="0" collapsed="false">
      <c r="T387" s="62"/>
      <c r="U387" s="63"/>
      <c r="V387" s="12" t="n">
        <v>0.0216272062325444</v>
      </c>
      <c r="W387" s="12" t="n">
        <v>0.0210734575536815</v>
      </c>
      <c r="X387" s="12" t="n">
        <f aca="false">PRODUCT(V387:W387)</f>
        <v>0.00045576001254624</v>
      </c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</row>
    <row r="388" customFormat="false" ht="15" hidden="false" customHeight="false" outlineLevel="0" collapsed="false">
      <c r="T388" s="62"/>
      <c r="U388" s="63"/>
      <c r="V388" s="12" t="n">
        <v>0.116447817978472</v>
      </c>
      <c r="W388" s="12" t="n">
        <v>-0.0178708223779953</v>
      </c>
      <c r="X388" s="12" t="n">
        <f aca="false">PRODUCT(V388:W388)</f>
        <v>-0.0020810182713984</v>
      </c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</row>
    <row r="389" customFormat="false" ht="15" hidden="false" customHeight="false" outlineLevel="0" collapsed="false">
      <c r="T389" s="62"/>
      <c r="U389" s="63"/>
      <c r="V389" s="12" t="n">
        <v>0.0341490725846221</v>
      </c>
      <c r="W389" s="12" t="n">
        <v>0.0177845984914615</v>
      </c>
      <c r="X389" s="12" t="n">
        <f aca="false">PRODUCT(V389:W389)</f>
        <v>0.00060732754477328</v>
      </c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</row>
    <row r="390" customFormat="false" ht="15" hidden="false" customHeight="false" outlineLevel="0" collapsed="false">
      <c r="T390" s="62"/>
      <c r="U390" s="63"/>
      <c r="V390" s="12" t="n">
        <v>-0.0228233473750326</v>
      </c>
      <c r="W390" s="12" t="n">
        <v>-0.0216478748906477</v>
      </c>
      <c r="X390" s="12" t="n">
        <f aca="false">PRODUCT(V390:W390)</f>
        <v>0.000494076968560498</v>
      </c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</row>
    <row r="391" customFormat="false" ht="15" hidden="false" customHeight="false" outlineLevel="0" collapsed="false">
      <c r="T391" s="62"/>
      <c r="U391" s="63"/>
      <c r="V391" s="12" t="n">
        <v>-0.0443424840431756</v>
      </c>
      <c r="W391" s="12" t="n">
        <v>-0.0286147853389247</v>
      </c>
      <c r="X391" s="12" t="n">
        <f aca="false">PRODUCT(V391:W391)</f>
        <v>0.00126885066229016</v>
      </c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</row>
    <row r="392" customFormat="false" ht="15" hidden="false" customHeight="false" outlineLevel="0" collapsed="false">
      <c r="T392" s="62"/>
      <c r="U392" s="63"/>
      <c r="V392" s="12" t="n">
        <v>-0.014073186380255</v>
      </c>
      <c r="W392" s="12" t="n">
        <v>-0.0218560027953805</v>
      </c>
      <c r="X392" s="12" t="n">
        <f aca="false">PRODUCT(V392:W392)</f>
        <v>0.000307583600866764</v>
      </c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</row>
    <row r="393" customFormat="false" ht="15" hidden="false" customHeight="false" outlineLevel="0" collapsed="false">
      <c r="T393" s="62"/>
      <c r="U393" s="63"/>
      <c r="V393" s="12" t="n">
        <v>0.0372144380073269</v>
      </c>
      <c r="W393" s="12" t="n">
        <v>0.0103262073457326</v>
      </c>
      <c r="X393" s="12" t="n">
        <f aca="false">PRODUCT(V393:W393)</f>
        <v>0.000384284003118569</v>
      </c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</row>
    <row r="394" customFormat="false" ht="15" hidden="false" customHeight="false" outlineLevel="0" collapsed="false">
      <c r="T394" s="62"/>
      <c r="U394" s="63"/>
      <c r="V394" s="12" t="n">
        <v>-0.0299717608209775</v>
      </c>
      <c r="W394" s="12" t="n">
        <v>0.00257151131212385</v>
      </c>
      <c r="X394" s="12" t="n">
        <f aca="false">PRODUCT(V394:W394)</f>
        <v>-7.70727219954141E-005</v>
      </c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</row>
    <row r="395" customFormat="false" ht="15" hidden="false" customHeight="false" outlineLevel="0" collapsed="false">
      <c r="T395" s="62"/>
      <c r="U395" s="63"/>
      <c r="V395" s="12" t="n">
        <v>0.0333294633804524</v>
      </c>
      <c r="W395" s="12" t="n">
        <v>0.000836114988385539</v>
      </c>
      <c r="X395" s="12" t="n">
        <f aca="false">PRODUCT(V395:W395)</f>
        <v>2.78672638872432E-005</v>
      </c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</row>
    <row r="396" customFormat="false" ht="15" hidden="false" customHeight="false" outlineLevel="0" collapsed="false">
      <c r="T396" s="62"/>
      <c r="U396" s="63"/>
      <c r="V396" s="12" t="n">
        <v>0.000791283978168522</v>
      </c>
      <c r="W396" s="12" t="n">
        <v>-0.0121397545506108</v>
      </c>
      <c r="X396" s="12" t="n">
        <f aca="false">PRODUCT(V396:W396)</f>
        <v>-9.60599327479673E-006</v>
      </c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</row>
    <row r="397" customFormat="false" ht="15" hidden="false" customHeight="false" outlineLevel="0" collapsed="false">
      <c r="T397" s="62"/>
      <c r="U397" s="63"/>
      <c r="V397" s="12" t="n">
        <v>-0.0135355302841944</v>
      </c>
      <c r="W397" s="12" t="n">
        <v>0.025391167046199</v>
      </c>
      <c r="X397" s="12" t="n">
        <f aca="false">PRODUCT(V397:W397)</f>
        <v>-0.000343682910504865</v>
      </c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</row>
    <row r="398" customFormat="false" ht="15" hidden="false" customHeight="false" outlineLevel="0" collapsed="false">
      <c r="T398" s="62"/>
      <c r="U398" s="63"/>
      <c r="V398" s="12" t="n">
        <v>-0.0393069847338516</v>
      </c>
      <c r="W398" s="12" t="n">
        <v>-0.00289730895093854</v>
      </c>
      <c r="X398" s="12" t="n">
        <f aca="false">PRODUCT(V398:W398)</f>
        <v>0.000113884478703793</v>
      </c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</row>
    <row r="399" customFormat="false" ht="15" hidden="false" customHeight="false" outlineLevel="0" collapsed="false">
      <c r="T399" s="62"/>
      <c r="U399" s="63"/>
      <c r="V399" s="12" t="n">
        <v>-0.0670216961664512</v>
      </c>
      <c r="W399" s="12" t="n">
        <v>0.00144002452907444</v>
      </c>
      <c r="X399" s="12" t="n">
        <f aca="false">PRODUCT(V399:W399)</f>
        <v>-9.65128864598641E-005</v>
      </c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</row>
    <row r="400" customFormat="false" ht="15" hidden="false" customHeight="false" outlineLevel="0" collapsed="false">
      <c r="T400" s="62"/>
      <c r="U400" s="63"/>
      <c r="V400" s="12" t="n">
        <v>-0.0149557610634048</v>
      </c>
      <c r="W400" s="12" t="n">
        <v>-0.00207998317985236</v>
      </c>
      <c r="X400" s="12" t="n">
        <f aca="false">PRODUCT(V400:W400)</f>
        <v>3.11077314537728E-005</v>
      </c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</row>
    <row r="401" customFormat="false" ht="15" hidden="false" customHeight="false" outlineLevel="0" collapsed="false">
      <c r="T401" s="62"/>
      <c r="U401" s="63"/>
      <c r="V401" s="13" t="n">
        <f aca="false" t="array" ref="V401:V426">'Data Gathering and ect'!F95:F120</f>
        <v>-0.0689425876158651</v>
      </c>
      <c r="W401" s="13" t="n">
        <f aca="false" t="array" ref="W401:W426">'Data Gathering and ect'!F285:F310</f>
        <v>-0.0309496997724894</v>
      </c>
      <c r="X401" s="13" t="n">
        <f aca="false">PRODUCT(V401:W401)</f>
        <v>0.00213375238824957</v>
      </c>
      <c r="Y401" s="64" t="n">
        <f aca="false">SUM(V401:V426)</f>
        <v>-0.61308183766856</v>
      </c>
      <c r="Z401" s="64" t="n">
        <f aca="false">SUM(W401:W426)</f>
        <v>-0.12670417074293</v>
      </c>
      <c r="AA401" s="64" t="n">
        <f aca="false">SUM(X401:X426)</f>
        <v>0.0948409520960856</v>
      </c>
      <c r="AB401" s="64" t="n">
        <f aca="false">Y401*Z401</f>
        <v>0.0776800258393465</v>
      </c>
      <c r="AC401" s="65" t="n">
        <f aca="false">COUNT(V401:V426)</f>
        <v>26</v>
      </c>
      <c r="AD401" s="64" t="n">
        <f aca="false" t="array" ref="AD401:AD401">SUM(POWER(V401:V426,2))</f>
        <v>0.179084733445403</v>
      </c>
      <c r="AE401" s="64" t="n">
        <f aca="false" t="array" ref="AE401:AE401">SUM(POWER(W401:W426,2))</f>
        <v>0.0672744582728849</v>
      </c>
      <c r="AF401" s="64" t="n">
        <f aca="false">(AA401*AC401)-(AB401)</f>
        <v>2.38818472865888</v>
      </c>
      <c r="AG401" s="64" t="n">
        <f aca="false">(AC401*AD401)-(POWER(Y401,2))</f>
        <v>4.28033372990141</v>
      </c>
      <c r="AH401" s="64" t="n">
        <f aca="false">(AC401*AE401)-(POWER(Z401,2))</f>
        <v>1.73308196821135</v>
      </c>
      <c r="AI401" s="64" t="n">
        <f aca="false">SQRT(AG401*AH401)</f>
        <v>2.72363162068937</v>
      </c>
      <c r="AJ401" s="64" t="n">
        <f aca="false">AF401 / AI401</f>
        <v>0.876838376569595</v>
      </c>
    </row>
    <row r="402" customFormat="false" ht="15" hidden="false" customHeight="false" outlineLevel="0" collapsed="false">
      <c r="T402" s="62"/>
      <c r="U402" s="63"/>
      <c r="V402" s="13" t="n">
        <v>0.000525301944326984</v>
      </c>
      <c r="W402" s="13" t="n">
        <v>0.0170873116037891</v>
      </c>
      <c r="X402" s="13" t="n">
        <f aca="false">PRODUCT(V402:W402)</f>
        <v>8.97599800879145E-006</v>
      </c>
      <c r="Y402" s="64"/>
      <c r="Z402" s="64"/>
      <c r="AA402" s="64"/>
      <c r="AB402" s="64"/>
      <c r="AC402" s="65"/>
      <c r="AD402" s="64"/>
      <c r="AE402" s="64"/>
      <c r="AF402" s="64"/>
      <c r="AG402" s="64"/>
      <c r="AH402" s="64"/>
      <c r="AI402" s="64"/>
      <c r="AJ402" s="64"/>
    </row>
    <row r="403" customFormat="false" ht="15" hidden="false" customHeight="false" outlineLevel="0" collapsed="false">
      <c r="T403" s="62"/>
      <c r="U403" s="63"/>
      <c r="V403" s="13" t="n">
        <v>0.00864171857069351</v>
      </c>
      <c r="W403" s="13" t="n">
        <v>0.00532937018097535</v>
      </c>
      <c r="X403" s="13" t="n">
        <f aca="false">PRODUCT(V403:W403)</f>
        <v>4.60549172630349E-005</v>
      </c>
      <c r="Y403" s="64"/>
      <c r="Z403" s="64"/>
      <c r="AA403" s="64"/>
      <c r="AB403" s="64"/>
      <c r="AC403" s="65"/>
      <c r="AD403" s="64"/>
      <c r="AE403" s="64"/>
      <c r="AF403" s="64"/>
      <c r="AG403" s="64"/>
      <c r="AH403" s="64"/>
      <c r="AI403" s="64"/>
      <c r="AJ403" s="64"/>
    </row>
    <row r="404" customFormat="false" ht="15" hidden="false" customHeight="false" outlineLevel="0" collapsed="false">
      <c r="T404" s="62"/>
      <c r="U404" s="63"/>
      <c r="V404" s="13" t="n">
        <v>0.0644714611014319</v>
      </c>
      <c r="W404" s="13" t="n">
        <v>-0.00146193131466177</v>
      </c>
      <c r="X404" s="13" t="n">
        <f aca="false">PRODUCT(V404:W404)</f>
        <v>-9.42528478861815E-005</v>
      </c>
      <c r="Y404" s="64"/>
      <c r="Z404" s="64"/>
      <c r="AA404" s="64"/>
      <c r="AB404" s="64"/>
      <c r="AC404" s="65"/>
      <c r="AD404" s="64"/>
      <c r="AE404" s="64"/>
      <c r="AF404" s="64"/>
      <c r="AG404" s="64"/>
      <c r="AH404" s="64"/>
      <c r="AI404" s="64"/>
      <c r="AJ404" s="64"/>
    </row>
    <row r="405" customFormat="false" ht="15" hidden="false" customHeight="false" outlineLevel="0" collapsed="false">
      <c r="T405" s="62"/>
      <c r="U405" s="63"/>
      <c r="V405" s="13" t="n">
        <v>-0.00884026724462572</v>
      </c>
      <c r="W405" s="13" t="n">
        <v>0.0105056563841943</v>
      </c>
      <c r="X405" s="13" t="n">
        <f aca="false">PRODUCT(V405:W405)</f>
        <v>-9.2872810016486E-005</v>
      </c>
      <c r="Y405" s="64"/>
      <c r="Z405" s="64"/>
      <c r="AA405" s="64"/>
      <c r="AB405" s="64"/>
      <c r="AC405" s="65"/>
      <c r="AD405" s="64"/>
      <c r="AE405" s="64"/>
      <c r="AF405" s="64"/>
      <c r="AG405" s="64"/>
      <c r="AH405" s="64"/>
      <c r="AI405" s="64"/>
      <c r="AJ405" s="64"/>
    </row>
    <row r="406" customFormat="false" ht="15" hidden="false" customHeight="false" outlineLevel="0" collapsed="false">
      <c r="T406" s="62"/>
      <c r="U406" s="63"/>
      <c r="V406" s="13" t="n">
        <v>0.0107736465310566</v>
      </c>
      <c r="W406" s="13" t="n">
        <v>0.005407805169094</v>
      </c>
      <c r="X406" s="13" t="n">
        <f aca="false">PRODUCT(V406:W406)</f>
        <v>5.82617814006395E-005</v>
      </c>
      <c r="Y406" s="64"/>
      <c r="Z406" s="64"/>
      <c r="AA406" s="64"/>
      <c r="AB406" s="64"/>
      <c r="AC406" s="65"/>
      <c r="AD406" s="64"/>
      <c r="AE406" s="64"/>
      <c r="AF406" s="64"/>
      <c r="AG406" s="64"/>
      <c r="AH406" s="64"/>
      <c r="AI406" s="64"/>
      <c r="AJ406" s="64"/>
    </row>
    <row r="407" customFormat="false" ht="15" hidden="false" customHeight="false" outlineLevel="0" collapsed="false">
      <c r="T407" s="62"/>
      <c r="U407" s="63"/>
      <c r="V407" s="13" t="n">
        <v>0.00441691993237292</v>
      </c>
      <c r="W407" s="13" t="n">
        <v>0.00535953688294111</v>
      </c>
      <c r="X407" s="13" t="n">
        <f aca="false">PRODUCT(V407:W407)</f>
        <v>2.36726452865504E-005</v>
      </c>
      <c r="Y407" s="64"/>
      <c r="Z407" s="64"/>
      <c r="AA407" s="64"/>
      <c r="AB407" s="64"/>
      <c r="AC407" s="65"/>
      <c r="AD407" s="64"/>
      <c r="AE407" s="64"/>
      <c r="AF407" s="64"/>
      <c r="AG407" s="64"/>
      <c r="AH407" s="64"/>
      <c r="AI407" s="64"/>
      <c r="AJ407" s="64"/>
    </row>
    <row r="408" customFormat="false" ht="15" hidden="false" customHeight="false" outlineLevel="0" collapsed="false">
      <c r="T408" s="62"/>
      <c r="U408" s="63"/>
      <c r="V408" s="13" t="n">
        <v>-0.0217663815648557</v>
      </c>
      <c r="W408" s="13" t="n">
        <v>-0.0124556083581471</v>
      </c>
      <c r="X408" s="13" t="n">
        <f aca="false">PRODUCT(V408:W408)</f>
        <v>0.000271113524145836</v>
      </c>
      <c r="Y408" s="64"/>
      <c r="Z408" s="64"/>
      <c r="AA408" s="64"/>
      <c r="AB408" s="64"/>
      <c r="AC408" s="65"/>
      <c r="AD408" s="64"/>
      <c r="AE408" s="64"/>
      <c r="AF408" s="64"/>
      <c r="AG408" s="64"/>
      <c r="AH408" s="64"/>
      <c r="AI408" s="64"/>
      <c r="AJ408" s="64"/>
    </row>
    <row r="409" customFormat="false" ht="15" hidden="false" customHeight="false" outlineLevel="0" collapsed="false">
      <c r="T409" s="62"/>
      <c r="U409" s="63"/>
      <c r="V409" s="13" t="n">
        <v>-0.0390198846963248</v>
      </c>
      <c r="W409" s="13" t="n">
        <v>-0.046037362921882</v>
      </c>
      <c r="X409" s="13" t="n">
        <f aca="false">PRODUCT(V409:W409)</f>
        <v>0.00179637259293469</v>
      </c>
      <c r="Y409" s="64"/>
      <c r="Z409" s="64"/>
      <c r="AA409" s="64"/>
      <c r="AB409" s="64"/>
      <c r="AC409" s="65"/>
      <c r="AD409" s="64"/>
      <c r="AE409" s="64"/>
      <c r="AF409" s="64"/>
      <c r="AG409" s="64"/>
      <c r="AH409" s="64"/>
      <c r="AI409" s="64"/>
      <c r="AJ409" s="64"/>
    </row>
    <row r="410" customFormat="false" ht="15" hidden="false" customHeight="false" outlineLevel="0" collapsed="false">
      <c r="T410" s="62"/>
      <c r="U410" s="63"/>
      <c r="V410" s="13" t="n">
        <v>-0.0371937628734642</v>
      </c>
      <c r="W410" s="13" t="n">
        <v>0.0186101548656223</v>
      </c>
      <c r="X410" s="13" t="n">
        <f aca="false">PRODUCT(V410:W410)</f>
        <v>-0.000692181687110402</v>
      </c>
      <c r="Y410" s="64"/>
      <c r="Z410" s="64"/>
      <c r="AA410" s="64"/>
      <c r="AB410" s="64"/>
      <c r="AC410" s="65"/>
      <c r="AD410" s="64"/>
      <c r="AE410" s="64"/>
      <c r="AF410" s="64"/>
      <c r="AG410" s="64"/>
      <c r="AH410" s="64"/>
      <c r="AI410" s="64"/>
      <c r="AJ410" s="64"/>
    </row>
    <row r="411" customFormat="false" ht="15" hidden="false" customHeight="false" outlineLevel="0" collapsed="false">
      <c r="T411" s="62"/>
      <c r="U411" s="63"/>
      <c r="V411" s="13" t="n">
        <v>-0.0449913194219143</v>
      </c>
      <c r="W411" s="13" t="n">
        <v>-0.0425251881278683</v>
      </c>
      <c r="X411" s="13" t="n">
        <f aca="false">PRODUCT(V411:W411)</f>
        <v>0.00191326432253792</v>
      </c>
      <c r="Y411" s="64"/>
      <c r="Z411" s="64"/>
      <c r="AA411" s="64"/>
      <c r="AB411" s="64"/>
      <c r="AC411" s="65"/>
      <c r="AD411" s="64"/>
      <c r="AE411" s="64"/>
      <c r="AF411" s="64"/>
      <c r="AG411" s="64"/>
      <c r="AH411" s="64"/>
      <c r="AI411" s="64"/>
      <c r="AJ411" s="64"/>
    </row>
    <row r="412" customFormat="false" ht="15" hidden="false" customHeight="false" outlineLevel="0" collapsed="false">
      <c r="T412" s="62"/>
      <c r="U412" s="63"/>
      <c r="V412" s="13" t="n">
        <v>0.00399561099786183</v>
      </c>
      <c r="W412" s="13" t="n">
        <v>0.00312639980696439</v>
      </c>
      <c r="X412" s="13" t="n">
        <f aca="false">PRODUCT(V412:W412)</f>
        <v>1.249187745242E-005</v>
      </c>
      <c r="Y412" s="64"/>
      <c r="Z412" s="64"/>
      <c r="AA412" s="64"/>
      <c r="AB412" s="64"/>
      <c r="AC412" s="65"/>
      <c r="AD412" s="64"/>
      <c r="AE412" s="64"/>
      <c r="AF412" s="64"/>
      <c r="AG412" s="64"/>
      <c r="AH412" s="64"/>
      <c r="AI412" s="64"/>
      <c r="AJ412" s="64"/>
    </row>
    <row r="413" customFormat="false" ht="15" hidden="false" customHeight="false" outlineLevel="0" collapsed="false">
      <c r="T413" s="62"/>
      <c r="U413" s="63"/>
      <c r="V413" s="13" t="n">
        <v>-0.0939446476819228</v>
      </c>
      <c r="W413" s="13" t="n">
        <v>-0.0668515324706265</v>
      </c>
      <c r="X413" s="13" t="n">
        <f aca="false">PRODUCT(V413:W413)</f>
        <v>0.00628034366494963</v>
      </c>
      <c r="Y413" s="64"/>
      <c r="Z413" s="64"/>
      <c r="AA413" s="64"/>
      <c r="AB413" s="64"/>
      <c r="AC413" s="65"/>
      <c r="AD413" s="64"/>
      <c r="AE413" s="64"/>
      <c r="AF413" s="64"/>
      <c r="AG413" s="64"/>
      <c r="AH413" s="64"/>
      <c r="AI413" s="64"/>
      <c r="AJ413" s="64"/>
    </row>
    <row r="414" customFormat="false" ht="15" hidden="false" customHeight="false" outlineLevel="0" collapsed="false">
      <c r="T414" s="62"/>
      <c r="U414" s="63"/>
      <c r="V414" s="13" t="n">
        <v>-0.0266611252950337</v>
      </c>
      <c r="W414" s="13" t="n">
        <v>-0.015541417689751</v>
      </c>
      <c r="X414" s="13" t="n">
        <f aca="false">PRODUCT(V414:W414)</f>
        <v>0.000414351684288905</v>
      </c>
      <c r="Y414" s="64"/>
      <c r="Z414" s="64"/>
      <c r="AA414" s="64"/>
      <c r="AB414" s="64"/>
      <c r="AC414" s="65"/>
      <c r="AD414" s="64"/>
      <c r="AE414" s="64"/>
      <c r="AF414" s="64"/>
      <c r="AG414" s="64"/>
      <c r="AH414" s="64"/>
      <c r="AI414" s="64"/>
      <c r="AJ414" s="64"/>
    </row>
    <row r="415" customFormat="false" ht="15" hidden="false" customHeight="false" outlineLevel="0" collapsed="false">
      <c r="T415" s="62"/>
      <c r="U415" s="63"/>
      <c r="V415" s="13" t="n">
        <v>-0.284180143237627</v>
      </c>
      <c r="W415" s="13" t="n">
        <v>-0.113641990653887</v>
      </c>
      <c r="X415" s="13" t="n">
        <f aca="false">PRODUCT(V415:W415)</f>
        <v>0.0322947971818307</v>
      </c>
      <c r="Y415" s="64"/>
      <c r="Z415" s="64"/>
      <c r="AA415" s="64"/>
      <c r="AB415" s="64"/>
      <c r="AC415" s="65"/>
      <c r="AD415" s="64"/>
      <c r="AE415" s="64"/>
      <c r="AF415" s="64"/>
      <c r="AG415" s="64"/>
      <c r="AH415" s="64"/>
      <c r="AI415" s="64"/>
      <c r="AJ415" s="64"/>
    </row>
    <row r="416" customFormat="false" ht="15" hidden="false" customHeight="false" outlineLevel="0" collapsed="false">
      <c r="T416" s="62"/>
      <c r="U416" s="63"/>
      <c r="V416" s="13" t="n">
        <v>-0.232914983408913</v>
      </c>
      <c r="W416" s="13" t="n">
        <v>-0.134926521936364</v>
      </c>
      <c r="X416" s="13" t="n">
        <f aca="false">PRODUCT(V416:W416)</f>
        <v>0.0314264086182306</v>
      </c>
      <c r="Y416" s="64"/>
      <c r="Z416" s="64"/>
      <c r="AA416" s="64"/>
      <c r="AB416" s="64"/>
      <c r="AC416" s="65"/>
      <c r="AD416" s="64"/>
      <c r="AE416" s="64"/>
      <c r="AF416" s="64"/>
      <c r="AG416" s="64"/>
      <c r="AH416" s="64"/>
      <c r="AI416" s="64"/>
      <c r="AJ416" s="64"/>
    </row>
    <row r="417" customFormat="false" ht="15" hidden="false" customHeight="false" outlineLevel="0" collapsed="false">
      <c r="T417" s="62"/>
      <c r="U417" s="63"/>
      <c r="V417" s="13" t="n">
        <v>0.0910421215789228</v>
      </c>
      <c r="W417" s="13" t="n">
        <v>0.126181836462973</v>
      </c>
      <c r="X417" s="13" t="n">
        <f aca="false">PRODUCT(V417:W417)</f>
        <v>0.0114878620963137</v>
      </c>
      <c r="Y417" s="64"/>
      <c r="Z417" s="64"/>
      <c r="AA417" s="64"/>
      <c r="AB417" s="64"/>
      <c r="AC417" s="65"/>
      <c r="AD417" s="64"/>
      <c r="AE417" s="64"/>
      <c r="AF417" s="64"/>
      <c r="AG417" s="64"/>
      <c r="AH417" s="64"/>
      <c r="AI417" s="64"/>
      <c r="AJ417" s="64"/>
    </row>
    <row r="418" customFormat="false" ht="15" hidden="false" customHeight="false" outlineLevel="0" collapsed="false">
      <c r="T418" s="62"/>
      <c r="U418" s="63"/>
      <c r="V418" s="13" t="n">
        <v>0.0381187997584291</v>
      </c>
      <c r="W418" s="13" t="n">
        <v>0.00983031114018562</v>
      </c>
      <c r="X418" s="13" t="n">
        <f aca="false">PRODUCT(V418:W418)</f>
        <v>0.000374719661915791</v>
      </c>
      <c r="Y418" s="64"/>
      <c r="Z418" s="64"/>
      <c r="AA418" s="64"/>
      <c r="AB418" s="64"/>
      <c r="AC418" s="65"/>
      <c r="AD418" s="64"/>
      <c r="AE418" s="64"/>
      <c r="AF418" s="64"/>
      <c r="AG418" s="64"/>
      <c r="AH418" s="64"/>
      <c r="AI418" s="64"/>
      <c r="AJ418" s="64"/>
    </row>
    <row r="419" customFormat="false" ht="15" hidden="false" customHeight="false" outlineLevel="0" collapsed="false">
      <c r="T419" s="62"/>
      <c r="U419" s="63"/>
      <c r="V419" s="13" t="n">
        <v>0.0137695686909982</v>
      </c>
      <c r="W419" s="13" t="n">
        <v>0.02765673092855</v>
      </c>
      <c r="X419" s="13" t="n">
        <f aca="false">PRODUCT(V419:W419)</f>
        <v>0.000380821256289124</v>
      </c>
      <c r="Y419" s="64"/>
      <c r="Z419" s="64"/>
      <c r="AA419" s="64"/>
      <c r="AB419" s="64"/>
      <c r="AC419" s="65"/>
      <c r="AD419" s="64"/>
      <c r="AE419" s="64"/>
      <c r="AF419" s="64"/>
      <c r="AG419" s="64"/>
      <c r="AH419" s="64"/>
      <c r="AI419" s="64"/>
      <c r="AJ419" s="64"/>
    </row>
    <row r="420" customFormat="false" ht="15" hidden="false" customHeight="false" outlineLevel="0" collapsed="false">
      <c r="T420" s="62"/>
      <c r="U420" s="63"/>
      <c r="V420" s="13" t="n">
        <v>0.081575379710717</v>
      </c>
      <c r="W420" s="13" t="n">
        <v>0.0577018945838441</v>
      </c>
      <c r="X420" s="13" t="n">
        <f aca="false">PRODUCT(V420:W420)</f>
        <v>0.00470705396070485</v>
      </c>
      <c r="Y420" s="64"/>
      <c r="Z420" s="64"/>
      <c r="AA420" s="64"/>
      <c r="AB420" s="64"/>
      <c r="AC420" s="65"/>
      <c r="AD420" s="64"/>
      <c r="AE420" s="64"/>
      <c r="AF420" s="64"/>
      <c r="AG420" s="64"/>
      <c r="AH420" s="64"/>
      <c r="AI420" s="64"/>
      <c r="AJ420" s="64"/>
    </row>
    <row r="421" customFormat="false" ht="15" hidden="false" customHeight="false" outlineLevel="0" collapsed="false">
      <c r="T421" s="62"/>
      <c r="U421" s="63"/>
      <c r="V421" s="13" t="n">
        <v>-0.0206393287696578</v>
      </c>
      <c r="W421" s="13" t="n">
        <v>0.00441549451502432</v>
      </c>
      <c r="X421" s="13" t="n">
        <f aca="false">PRODUCT(V421:W421)</f>
        <v>-9.11328429762077E-005</v>
      </c>
      <c r="Y421" s="64"/>
      <c r="Z421" s="64"/>
      <c r="AA421" s="64"/>
      <c r="AB421" s="64"/>
      <c r="AC421" s="65"/>
      <c r="AD421" s="64"/>
      <c r="AE421" s="64"/>
      <c r="AF421" s="64"/>
      <c r="AG421" s="64"/>
      <c r="AH421" s="64"/>
      <c r="AI421" s="64"/>
      <c r="AJ421" s="64"/>
    </row>
    <row r="422" customFormat="false" ht="15" hidden="false" customHeight="false" outlineLevel="0" collapsed="false">
      <c r="T422" s="62"/>
      <c r="U422" s="63"/>
      <c r="V422" s="13" t="n">
        <v>0.0249706018562534</v>
      </c>
      <c r="W422" s="13" t="n">
        <v>0.0547925509417428</v>
      </c>
      <c r="X422" s="13" t="n">
        <f aca="false">PRODUCT(V422:W422)</f>
        <v>0.00136820297425474</v>
      </c>
      <c r="Y422" s="64"/>
      <c r="Z422" s="64"/>
      <c r="AA422" s="64"/>
      <c r="AB422" s="64"/>
      <c r="AC422" s="65"/>
      <c r="AD422" s="64"/>
      <c r="AE422" s="64"/>
      <c r="AF422" s="64"/>
      <c r="AG422" s="64"/>
      <c r="AH422" s="64"/>
      <c r="AI422" s="64"/>
      <c r="AJ422" s="64"/>
    </row>
    <row r="423" customFormat="false" ht="15" hidden="false" customHeight="false" outlineLevel="0" collapsed="false">
      <c r="T423" s="62"/>
      <c r="U423" s="63"/>
      <c r="V423" s="13" t="n">
        <v>-0.0406842233261351</v>
      </c>
      <c r="W423" s="13" t="n">
        <v>-0.0379351995026553</v>
      </c>
      <c r="X423" s="13" t="n">
        <f aca="false">PRODUCT(V423:W423)</f>
        <v>0.00154336412848752</v>
      </c>
      <c r="Y423" s="64"/>
      <c r="Z423" s="64"/>
      <c r="AA423" s="64"/>
      <c r="AB423" s="64"/>
      <c r="AC423" s="65"/>
      <c r="AD423" s="64"/>
      <c r="AE423" s="64"/>
      <c r="AF423" s="64"/>
      <c r="AG423" s="64"/>
      <c r="AH423" s="64"/>
      <c r="AI423" s="64"/>
      <c r="AJ423" s="64"/>
    </row>
    <row r="424" customFormat="false" ht="15" hidden="false" customHeight="false" outlineLevel="0" collapsed="false">
      <c r="T424" s="62"/>
      <c r="U424" s="63"/>
      <c r="V424" s="13" t="n">
        <v>-0.00340559559759157</v>
      </c>
      <c r="W424" s="13" t="n">
        <v>-0.00655362034947515</v>
      </c>
      <c r="X424" s="13" t="n">
        <f aca="false">PRODUCT(V424:W424)</f>
        <v>2.23189806104591E-005</v>
      </c>
      <c r="Y424" s="64"/>
      <c r="Z424" s="64"/>
      <c r="AA424" s="64"/>
      <c r="AB424" s="64"/>
      <c r="AC424" s="65"/>
      <c r="AD424" s="64"/>
      <c r="AE424" s="64"/>
      <c r="AF424" s="64"/>
      <c r="AG424" s="64"/>
      <c r="AH424" s="64"/>
      <c r="AI424" s="64"/>
      <c r="AJ424" s="64"/>
    </row>
    <row r="425" customFormat="false" ht="15" hidden="false" customHeight="false" outlineLevel="0" collapsed="false">
      <c r="T425" s="62"/>
      <c r="U425" s="63"/>
      <c r="V425" s="13" t="n">
        <v>-0.00896475083917103</v>
      </c>
      <c r="W425" s="13" t="n">
        <v>0.00613771145021413</v>
      </c>
      <c r="X425" s="13" t="n">
        <f aca="false">PRODUCT(V425:W425)</f>
        <v>-5.50230538738968E-005</v>
      </c>
      <c r="Y425" s="64"/>
      <c r="Z425" s="64"/>
      <c r="AA425" s="64"/>
      <c r="AB425" s="64"/>
      <c r="AC425" s="65"/>
      <c r="AD425" s="64"/>
      <c r="AE425" s="64"/>
      <c r="AF425" s="64"/>
      <c r="AG425" s="64"/>
      <c r="AH425" s="64"/>
      <c r="AI425" s="64"/>
      <c r="AJ425" s="64"/>
    </row>
    <row r="426" customFormat="false" ht="15" hidden="false" customHeight="false" outlineLevel="0" collapsed="false">
      <c r="T426" s="62"/>
      <c r="U426" s="63"/>
      <c r="V426" s="17" t="n">
        <v>-0.0232339667685224</v>
      </c>
      <c r="W426" s="17" t="n">
        <v>0.030033137438763</v>
      </c>
      <c r="X426" s="17" t="n">
        <f aca="false">PRODUCT(V426:W426)</f>
        <v>-0.000697788917206686</v>
      </c>
      <c r="Y426" s="64"/>
      <c r="Z426" s="64"/>
      <c r="AA426" s="64"/>
      <c r="AB426" s="64"/>
      <c r="AC426" s="65"/>
      <c r="AD426" s="64"/>
      <c r="AE426" s="64"/>
      <c r="AF426" s="64"/>
      <c r="AG426" s="64"/>
      <c r="AH426" s="64"/>
      <c r="AI426" s="64"/>
      <c r="AJ426" s="64"/>
    </row>
    <row r="427" customFormat="false" ht="15" hidden="false" customHeight="false" outlineLevel="0" collapsed="false">
      <c r="T427" s="62" t="s">
        <v>2</v>
      </c>
      <c r="U427" s="35" t="s">
        <v>24</v>
      </c>
      <c r="V427" s="12" t="n">
        <f aca="false" t="array" ref="V427:V447">'Data Gathering and ect'!F201:F221</f>
        <v>0.0264997946811612</v>
      </c>
      <c r="W427" s="12" t="n">
        <f aca="false" t="array" ref="W427:W447">'Data Gathering and ect'!F327:F347</f>
        <v>-0.00501176200619469</v>
      </c>
      <c r="X427" s="12" t="n">
        <f aca="false">PRODUCT(V427:W427)</f>
        <v>-0.000132810664155004</v>
      </c>
      <c r="Y427" s="43" t="n">
        <f aca="false">SUM(V427:V447)</f>
        <v>0.0557037353631662</v>
      </c>
      <c r="Z427" s="43" t="n">
        <f aca="false">SUM(W427:W447)</f>
        <v>-0.0216217509939103</v>
      </c>
      <c r="AA427" s="43" t="n">
        <f aca="false">SUM(X427:X447)</f>
        <v>0.00221780960918576</v>
      </c>
      <c r="AB427" s="43" t="n">
        <f aca="false">Y427*Z427</f>
        <v>-0.00120441229545306</v>
      </c>
      <c r="AC427" s="43" t="n">
        <f aca="false">COUNT(V427:V447)</f>
        <v>21</v>
      </c>
      <c r="AD427" s="43" t="n">
        <f aca="false" t="array" ref="AD427:AD427">SUM(POWER(V427:V447,2))</f>
        <v>0.00923370961463981</v>
      </c>
      <c r="AE427" s="43" t="n">
        <f aca="false" t="array" ref="AE427:AE427">SUM(POWER(W427:W447,2))</f>
        <v>0.00458247632227326</v>
      </c>
      <c r="AF427" s="43" t="n">
        <f aca="false">(AA427*AC427)-(AB427)</f>
        <v>0.0477784140883541</v>
      </c>
      <c r="AG427" s="43" t="n">
        <f aca="false">(AC427*AD427)-(POWER(Y427,2))</f>
        <v>0.190804995774026</v>
      </c>
      <c r="AH427" s="43" t="n">
        <f aca="false">(AC427*AE427)-(POWER(Z427,2))</f>
        <v>0.0957645026516959</v>
      </c>
      <c r="AI427" s="43" t="n">
        <f aca="false">SQRT(AG427*AH427)</f>
        <v>0.135175240054377</v>
      </c>
      <c r="AJ427" s="43" t="n">
        <f aca="false">AF427 / AI427</f>
        <v>0.353455367041583</v>
      </c>
    </row>
    <row r="428" customFormat="false" ht="15" hidden="false" customHeight="false" outlineLevel="0" collapsed="false">
      <c r="T428" s="62"/>
      <c r="U428" s="35"/>
      <c r="V428" s="12" t="n">
        <v>0.0482845070700524</v>
      </c>
      <c r="W428" s="12" t="n">
        <v>0.02352673785464</v>
      </c>
      <c r="X428" s="12" t="n">
        <f aca="false">PRODUCT(V428:W428)</f>
        <v>0.00113597694027763</v>
      </c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</row>
    <row r="429" customFormat="false" ht="15" hidden="false" customHeight="false" outlineLevel="0" collapsed="false">
      <c r="T429" s="62"/>
      <c r="U429" s="35"/>
      <c r="V429" s="12" t="n">
        <v>-0.0154548311049831</v>
      </c>
      <c r="W429" s="12" t="n">
        <v>0.00705059488162085</v>
      </c>
      <c r="X429" s="12" t="n">
        <f aca="false">PRODUCT(V429:W429)</f>
        <v>-0.000108965753085109</v>
      </c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</row>
    <row r="430" customFormat="false" ht="15" hidden="false" customHeight="false" outlineLevel="0" collapsed="false">
      <c r="T430" s="62"/>
      <c r="U430" s="35"/>
      <c r="V430" s="12" t="n">
        <v>0.00695980318127987</v>
      </c>
      <c r="W430" s="12" t="n">
        <v>-0.0122624934824085</v>
      </c>
      <c r="X430" s="12" t="n">
        <f aca="false">PRODUCT(V430:W430)</f>
        <v>-8.53445411492904E-005</v>
      </c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</row>
    <row r="431" customFormat="false" ht="15" hidden="false" customHeight="false" outlineLevel="0" collapsed="false">
      <c r="T431" s="62"/>
      <c r="U431" s="35"/>
      <c r="V431" s="12" t="n">
        <v>-0.00527876259449478</v>
      </c>
      <c r="W431" s="12" t="n">
        <v>-0.0349261781008394</v>
      </c>
      <c r="X431" s="12" t="n">
        <f aca="false">PRODUCT(V431:W431)</f>
        <v>0.000184367002527374</v>
      </c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</row>
    <row r="432" customFormat="false" ht="15" hidden="false" customHeight="false" outlineLevel="0" collapsed="false">
      <c r="T432" s="62"/>
      <c r="U432" s="35"/>
      <c r="V432" s="12" t="n">
        <v>-0.0398357218478322</v>
      </c>
      <c r="W432" s="12" t="n">
        <v>0.0125778124039275</v>
      </c>
      <c r="X432" s="12" t="n">
        <f aca="false">PRODUCT(V432:W432)</f>
        <v>-0.00050104623637707</v>
      </c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</row>
    <row r="433" customFormat="false" ht="15" hidden="false" customHeight="false" outlineLevel="0" collapsed="false">
      <c r="T433" s="62"/>
      <c r="U433" s="35"/>
      <c r="V433" s="12" t="n">
        <v>0.0265265483567836</v>
      </c>
      <c r="W433" s="12" t="n">
        <v>0.00587632033539087</v>
      </c>
      <c r="X433" s="12" t="n">
        <f aca="false">PRODUCT(V433:W433)</f>
        <v>0.000155878495536697</v>
      </c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</row>
    <row r="434" customFormat="false" ht="15" hidden="false" customHeight="false" outlineLevel="0" collapsed="false">
      <c r="T434" s="62"/>
      <c r="U434" s="35"/>
      <c r="V434" s="12" t="n">
        <v>0.00336575555414598</v>
      </c>
      <c r="W434" s="12" t="n">
        <v>0.0191552298439781</v>
      </c>
      <c r="X434" s="12" t="n">
        <f aca="false">PRODUCT(V434:W434)</f>
        <v>6.44718212383121E-005</v>
      </c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</row>
    <row r="435" customFormat="false" ht="15" hidden="false" customHeight="false" outlineLevel="0" collapsed="false">
      <c r="T435" s="62"/>
      <c r="U435" s="35"/>
      <c r="V435" s="12" t="n">
        <v>-0.0160060600042264</v>
      </c>
      <c r="W435" s="12" t="n">
        <v>-0.00185961774265309</v>
      </c>
      <c r="X435" s="12" t="n">
        <f aca="false">PRODUCT(V435:W435)</f>
        <v>2.97651531738294E-005</v>
      </c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</row>
    <row r="436" customFormat="false" ht="15" hidden="false" customHeight="false" outlineLevel="0" collapsed="false">
      <c r="T436" s="62"/>
      <c r="U436" s="35"/>
      <c r="V436" s="12" t="n">
        <v>0.0156459847118668</v>
      </c>
      <c r="W436" s="12" t="n">
        <v>0.00132051302884406</v>
      </c>
      <c r="X436" s="12" t="n">
        <f aca="false">PRODUCT(V436:W436)</f>
        <v>2.06607266611151E-005</v>
      </c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</row>
    <row r="437" customFormat="false" ht="15" hidden="false" customHeight="false" outlineLevel="0" collapsed="false">
      <c r="T437" s="62"/>
      <c r="U437" s="35"/>
      <c r="V437" s="12" t="n">
        <v>-0.0254434591703268</v>
      </c>
      <c r="W437" s="12" t="n">
        <v>-0.0088142461366818</v>
      </c>
      <c r="X437" s="12" t="n">
        <f aca="false">PRODUCT(V437:W437)</f>
        <v>0.000224264911695874</v>
      </c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</row>
    <row r="438" customFormat="false" ht="15" hidden="false" customHeight="false" outlineLevel="0" collapsed="false">
      <c r="T438" s="62"/>
      <c r="U438" s="35"/>
      <c r="V438" s="12" t="n">
        <v>0.00945376707201984</v>
      </c>
      <c r="W438" s="12" t="n">
        <v>-0.0161390405846671</v>
      </c>
      <c r="X438" s="12" t="n">
        <f aca="false">PRODUCT(V438:W438)</f>
        <v>-0.000152574730453318</v>
      </c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</row>
    <row r="439" customFormat="false" ht="15" hidden="false" customHeight="false" outlineLevel="0" collapsed="false">
      <c r="T439" s="62"/>
      <c r="U439" s="35"/>
      <c r="V439" s="12" t="n">
        <v>0.00113046333323208</v>
      </c>
      <c r="W439" s="12" t="n">
        <v>-0.022503021563514</v>
      </c>
      <c r="X439" s="12" t="n">
        <f aca="false">PRODUCT(V439:W439)</f>
        <v>-2.54388407644834E-005</v>
      </c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</row>
    <row r="440" customFormat="false" ht="15" hidden="false" customHeight="false" outlineLevel="0" collapsed="false">
      <c r="T440" s="62"/>
      <c r="U440" s="35"/>
      <c r="V440" s="12" t="n">
        <v>0.0085917435067806</v>
      </c>
      <c r="W440" s="12" t="n">
        <v>0.0156093186592727</v>
      </c>
      <c r="X440" s="12" t="n">
        <f aca="false">PRODUCT(V440:W440)</f>
        <v>0.000134111262236075</v>
      </c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</row>
    <row r="441" customFormat="false" ht="15" hidden="false" customHeight="false" outlineLevel="0" collapsed="false">
      <c r="T441" s="62"/>
      <c r="U441" s="35"/>
      <c r="V441" s="12" t="n">
        <v>0.0109709681855401</v>
      </c>
      <c r="W441" s="12" t="n">
        <v>0.000848385464056634</v>
      </c>
      <c r="X441" s="12" t="n">
        <f aca="false">PRODUCT(V441:W441)</f>
        <v>9.30760993524001E-006</v>
      </c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</row>
    <row r="442" customFormat="false" ht="15" hidden="false" customHeight="false" outlineLevel="0" collapsed="false">
      <c r="T442" s="62"/>
      <c r="U442" s="35"/>
      <c r="V442" s="12" t="n">
        <v>0.0191127508116731</v>
      </c>
      <c r="W442" s="12" t="n">
        <v>0.00883810822235986</v>
      </c>
      <c r="X442" s="12" t="n">
        <f aca="false">PRODUCT(V442:W442)</f>
        <v>0.000168920560100563</v>
      </c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</row>
    <row r="443" customFormat="false" ht="15" hidden="false" customHeight="false" outlineLevel="0" collapsed="false">
      <c r="T443" s="62"/>
      <c r="U443" s="35"/>
      <c r="V443" s="12" t="n">
        <v>0.0219286346064775</v>
      </c>
      <c r="W443" s="12" t="n">
        <v>0.0109481594253484</v>
      </c>
      <c r="X443" s="12" t="n">
        <f aca="false">PRODUCT(V443:W443)</f>
        <v>0.000240078187651928</v>
      </c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</row>
    <row r="444" customFormat="false" ht="15" hidden="false" customHeight="false" outlineLevel="0" collapsed="false">
      <c r="T444" s="62"/>
      <c r="U444" s="35"/>
      <c r="V444" s="12" t="n">
        <v>0.0146698101838458</v>
      </c>
      <c r="W444" s="12" t="n">
        <v>0.0130707882223309</v>
      </c>
      <c r="X444" s="12" t="n">
        <f aca="false">PRODUCT(V444:W444)</f>
        <v>0.000191745982174842</v>
      </c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</row>
    <row r="445" customFormat="false" ht="15" hidden="false" customHeight="false" outlineLevel="0" collapsed="false">
      <c r="T445" s="62"/>
      <c r="U445" s="35"/>
      <c r="V445" s="12" t="n">
        <v>-0.013393519068357</v>
      </c>
      <c r="W445" s="12" t="n">
        <v>-0.0156128593145617</v>
      </c>
      <c r="X445" s="12" t="n">
        <f aca="false">PRODUCT(V445:W445)</f>
        <v>0.000209111128941157</v>
      </c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</row>
    <row r="446" customFormat="false" ht="15" hidden="false" customHeight="false" outlineLevel="0" collapsed="false">
      <c r="T446" s="62"/>
      <c r="U446" s="35"/>
      <c r="V446" s="12" t="n">
        <v>-0.0246232446655386</v>
      </c>
      <c r="W446" s="12" t="n">
        <v>-0.00687206366679583</v>
      </c>
      <c r="X446" s="12" t="n">
        <f aca="false">PRODUCT(V446:W446)</f>
        <v>0.000169212505024672</v>
      </c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</row>
    <row r="447" customFormat="false" ht="15" hidden="false" customHeight="false" outlineLevel="0" collapsed="false">
      <c r="T447" s="62"/>
      <c r="U447" s="35"/>
      <c r="V447" s="12" t="n">
        <v>-0.0174011974359338</v>
      </c>
      <c r="W447" s="12" t="n">
        <v>-0.0164424367373641</v>
      </c>
      <c r="X447" s="12" t="n">
        <f aca="false">PRODUCT(V447:W447)</f>
        <v>0.000286118087994724</v>
      </c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</row>
    <row r="448" customFormat="false" ht="15" hidden="false" customHeight="false" outlineLevel="0" collapsed="false">
      <c r="T448" s="62"/>
      <c r="U448" s="35"/>
      <c r="V448" s="13" t="n">
        <f aca="false" t="array" ref="V448:V473">'Data Gathering and ect'!F222:F247</f>
        <v>0.0176572834822446</v>
      </c>
      <c r="W448" s="13" t="n">
        <f aca="false" t="array" ref="W448:W473">'Data Gathering and ect'!F348:F373</f>
        <v>0.0156543920092478</v>
      </c>
      <c r="X448" s="13" t="n">
        <f aca="false">PRODUCT(V448:W448)</f>
        <v>0.000276414037449473</v>
      </c>
      <c r="Y448" s="56" t="n">
        <f aca="false">SUM(V448:V473)</f>
        <v>-0.44826742573188</v>
      </c>
      <c r="Z448" s="56" t="n">
        <f aca="false">SUM(W448:W473)</f>
        <v>-0.249338051904321</v>
      </c>
      <c r="AA448" s="56" t="n">
        <f aca="false">SUM(X448:X473)</f>
        <v>0.0841765117373932</v>
      </c>
      <c r="AB448" s="56" t="n">
        <f aca="false">Y448*Z448</f>
        <v>0.111770126664152</v>
      </c>
      <c r="AC448" s="57" t="n">
        <f aca="false">COUNT(V448:V473)</f>
        <v>26</v>
      </c>
      <c r="AD448" s="56" t="n">
        <f aca="false" t="array" ref="AD448:AD448">SUM(POWER(V448:V473,2))</f>
        <v>0.0815875416697642</v>
      </c>
      <c r="AE448" s="56" t="n">
        <f aca="false" t="array" ref="AE448:AE448">SUM(POWER(W448:W473,2))</f>
        <v>0.109481364943174</v>
      </c>
      <c r="AF448" s="56" t="n">
        <f aca="false">(AA448*AC448)-(AB448)</f>
        <v>2.07681917850807</v>
      </c>
      <c r="AG448" s="56" t="n">
        <f aca="false">(AC448*AD448)-(POWER(Y448,2))</f>
        <v>1.92033239844158</v>
      </c>
      <c r="AH448" s="56" t="n">
        <f aca="false">(AC448*AE448)-(POWER(Z448,2))</f>
        <v>2.78434602439508</v>
      </c>
      <c r="AI448" s="56" t="n">
        <f aca="false">SQRT(AG448*AH448)</f>
        <v>2.3123299676123</v>
      </c>
      <c r="AJ448" s="56" t="n">
        <f aca="false">AF448 / AI448</f>
        <v>0.898150007826343</v>
      </c>
    </row>
    <row r="449" customFormat="false" ht="15" hidden="false" customHeight="false" outlineLevel="0" collapsed="false">
      <c r="T449" s="62"/>
      <c r="U449" s="35"/>
      <c r="V449" s="13" t="n">
        <v>0.0151202791694018</v>
      </c>
      <c r="W449" s="13" t="n">
        <v>-0.0152770401967075</v>
      </c>
      <c r="X449" s="13" t="n">
        <f aca="false">PRODUCT(V449:W449)</f>
        <v>-0.00023099311265639</v>
      </c>
      <c r="Y449" s="56"/>
      <c r="Z449" s="56"/>
      <c r="AA449" s="56"/>
      <c r="AB449" s="56"/>
      <c r="AC449" s="57"/>
      <c r="AD449" s="56"/>
      <c r="AE449" s="56"/>
      <c r="AF449" s="56"/>
      <c r="AG449" s="56"/>
      <c r="AH449" s="56"/>
      <c r="AI449" s="56"/>
      <c r="AJ449" s="56"/>
    </row>
    <row r="450" customFormat="false" ht="15" hidden="false" customHeight="false" outlineLevel="0" collapsed="false">
      <c r="T450" s="62"/>
      <c r="U450" s="35"/>
      <c r="V450" s="13" t="n">
        <v>-0.0320394270617079</v>
      </c>
      <c r="W450" s="13" t="n">
        <v>-0.00441939777758016</v>
      </c>
      <c r="X450" s="13" t="n">
        <f aca="false">PRODUCT(V450:W450)</f>
        <v>0.000141594972751454</v>
      </c>
      <c r="Y450" s="56"/>
      <c r="Z450" s="56"/>
      <c r="AA450" s="56"/>
      <c r="AB450" s="56"/>
      <c r="AC450" s="57"/>
      <c r="AD450" s="56"/>
      <c r="AE450" s="56"/>
      <c r="AF450" s="56"/>
      <c r="AG450" s="56"/>
      <c r="AH450" s="56"/>
      <c r="AI450" s="56"/>
      <c r="AJ450" s="56"/>
    </row>
    <row r="451" customFormat="false" ht="15" hidden="false" customHeight="false" outlineLevel="0" collapsed="false">
      <c r="T451" s="62"/>
      <c r="U451" s="35"/>
      <c r="V451" s="13" t="n">
        <v>0.0110554404973255</v>
      </c>
      <c r="W451" s="13" t="n">
        <v>-0.000997925288084289</v>
      </c>
      <c r="X451" s="13" t="n">
        <f aca="false">PRODUCT(V451:W451)</f>
        <v>-1.10325036431923E-005</v>
      </c>
      <c r="Y451" s="56"/>
      <c r="Z451" s="56"/>
      <c r="AA451" s="56"/>
      <c r="AB451" s="56"/>
      <c r="AC451" s="57"/>
      <c r="AD451" s="56"/>
      <c r="AE451" s="56"/>
      <c r="AF451" s="56"/>
      <c r="AG451" s="56"/>
      <c r="AH451" s="56"/>
      <c r="AI451" s="56"/>
      <c r="AJ451" s="56"/>
    </row>
    <row r="452" customFormat="false" ht="15" hidden="false" customHeight="false" outlineLevel="0" collapsed="false">
      <c r="T452" s="62"/>
      <c r="U452" s="35"/>
      <c r="V452" s="13" t="n">
        <v>-0.0103395354434825</v>
      </c>
      <c r="W452" s="13" t="n">
        <v>0.00520901689469611</v>
      </c>
      <c r="X452" s="13" t="n">
        <f aca="false">PRODUCT(V452:W452)</f>
        <v>-5.38588148084096E-005</v>
      </c>
      <c r="Y452" s="56"/>
      <c r="Z452" s="56"/>
      <c r="AA452" s="56"/>
      <c r="AB452" s="56"/>
      <c r="AC452" s="57"/>
      <c r="AD452" s="56"/>
      <c r="AE452" s="56"/>
      <c r="AF452" s="56"/>
      <c r="AG452" s="56"/>
      <c r="AH452" s="56"/>
      <c r="AI452" s="56"/>
      <c r="AJ452" s="56"/>
    </row>
    <row r="453" customFormat="false" ht="15" hidden="false" customHeight="false" outlineLevel="0" collapsed="false">
      <c r="T453" s="62"/>
      <c r="U453" s="35"/>
      <c r="V453" s="13" t="n">
        <v>-0.00923753845455</v>
      </c>
      <c r="W453" s="13" t="n">
        <v>0.000488630175269122</v>
      </c>
      <c r="X453" s="13" t="n">
        <f aca="false">PRODUCT(V453:W453)</f>
        <v>-4.51374003410202E-006</v>
      </c>
      <c r="Y453" s="56"/>
      <c r="Z453" s="56"/>
      <c r="AA453" s="56"/>
      <c r="AB453" s="56"/>
      <c r="AC453" s="57"/>
      <c r="AD453" s="56"/>
      <c r="AE453" s="56"/>
      <c r="AF453" s="56"/>
      <c r="AG453" s="56"/>
      <c r="AH453" s="56"/>
      <c r="AI453" s="56"/>
      <c r="AJ453" s="56"/>
    </row>
    <row r="454" customFormat="false" ht="15" hidden="false" customHeight="false" outlineLevel="0" collapsed="false">
      <c r="T454" s="62"/>
      <c r="U454" s="35"/>
      <c r="V454" s="13" t="n">
        <v>0.0105541158690246</v>
      </c>
      <c r="W454" s="13" t="n">
        <v>-0.0211588830495266</v>
      </c>
      <c r="X454" s="13" t="n">
        <f aca="false">PRODUCT(V454:W454)</f>
        <v>-0.000223313303363844</v>
      </c>
      <c r="Y454" s="56"/>
      <c r="Z454" s="56"/>
      <c r="AA454" s="56"/>
      <c r="AB454" s="56"/>
      <c r="AC454" s="57"/>
      <c r="AD454" s="56"/>
      <c r="AE454" s="56"/>
      <c r="AF454" s="56"/>
      <c r="AG454" s="56"/>
      <c r="AH454" s="56"/>
      <c r="AI454" s="56"/>
      <c r="AJ454" s="56"/>
    </row>
    <row r="455" customFormat="false" ht="15" hidden="false" customHeight="false" outlineLevel="0" collapsed="false">
      <c r="T455" s="62"/>
      <c r="U455" s="35"/>
      <c r="V455" s="13" t="n">
        <v>-0.0199827280870473</v>
      </c>
      <c r="W455" s="13" t="n">
        <v>-0.0171658737065741</v>
      </c>
      <c r="X455" s="13" t="n">
        <f aca="false">PRODUCT(V455:W455)</f>
        <v>0.000343020986655065</v>
      </c>
      <c r="Y455" s="56"/>
      <c r="Z455" s="56"/>
      <c r="AA455" s="56"/>
      <c r="AB455" s="56"/>
      <c r="AC455" s="57"/>
      <c r="AD455" s="56"/>
      <c r="AE455" s="56"/>
      <c r="AF455" s="56"/>
      <c r="AG455" s="56"/>
      <c r="AH455" s="56"/>
      <c r="AI455" s="56"/>
      <c r="AJ455" s="56"/>
    </row>
    <row r="456" customFormat="false" ht="15" hidden="false" customHeight="false" outlineLevel="0" collapsed="false">
      <c r="T456" s="62"/>
      <c r="U456" s="35"/>
      <c r="V456" s="13" t="n">
        <v>-0.0483447743265382</v>
      </c>
      <c r="W456" s="13" t="n">
        <v>-0.0629107928451944</v>
      </c>
      <c r="X456" s="13" t="n">
        <f aca="false">PRODUCT(V456:W456)</f>
        <v>0.00304140808280452</v>
      </c>
      <c r="Y456" s="56"/>
      <c r="Z456" s="56"/>
      <c r="AA456" s="56"/>
      <c r="AB456" s="56"/>
      <c r="AC456" s="57"/>
      <c r="AD456" s="56"/>
      <c r="AE456" s="56"/>
      <c r="AF456" s="56"/>
      <c r="AG456" s="56"/>
      <c r="AH456" s="56"/>
      <c r="AI456" s="56"/>
      <c r="AJ456" s="56"/>
    </row>
    <row r="457" customFormat="false" ht="15" hidden="false" customHeight="false" outlineLevel="0" collapsed="false">
      <c r="T457" s="62"/>
      <c r="U457" s="35"/>
      <c r="V457" s="13" t="n">
        <v>0.037637903122504</v>
      </c>
      <c r="W457" s="13" t="n">
        <v>0.0349877783745267</v>
      </c>
      <c r="X457" s="13" t="n">
        <f aca="false">PRODUCT(V457:W457)</f>
        <v>0.00131686661293208</v>
      </c>
      <c r="Y457" s="56"/>
      <c r="Z457" s="56"/>
      <c r="AA457" s="56"/>
      <c r="AB457" s="56"/>
      <c r="AC457" s="57"/>
      <c r="AD457" s="56"/>
      <c r="AE457" s="56"/>
      <c r="AF457" s="56"/>
      <c r="AG457" s="56"/>
      <c r="AH457" s="56"/>
      <c r="AI457" s="56"/>
      <c r="AJ457" s="56"/>
    </row>
    <row r="458" customFormat="false" ht="15" hidden="false" customHeight="false" outlineLevel="0" collapsed="false">
      <c r="T458" s="62"/>
      <c r="U458" s="35"/>
      <c r="V458" s="13" t="n">
        <v>-0.0295428902699211</v>
      </c>
      <c r="W458" s="13" t="n">
        <v>-0.0132470922217287</v>
      </c>
      <c r="X458" s="13" t="n">
        <f aca="false">PRODUCT(V458:W458)</f>
        <v>0.000391357391902056</v>
      </c>
      <c r="Y458" s="56"/>
      <c r="Z458" s="56"/>
      <c r="AA458" s="56"/>
      <c r="AB458" s="56"/>
      <c r="AC458" s="57"/>
      <c r="AD458" s="56"/>
      <c r="AE458" s="56"/>
      <c r="AF458" s="56"/>
      <c r="AG458" s="56"/>
      <c r="AH458" s="56"/>
      <c r="AI458" s="56"/>
      <c r="AJ458" s="56"/>
    </row>
    <row r="459" customFormat="false" ht="15" hidden="false" customHeight="false" outlineLevel="0" collapsed="false">
      <c r="T459" s="62"/>
      <c r="U459" s="35"/>
      <c r="V459" s="13" t="n">
        <v>-1.72519386865133E-005</v>
      </c>
      <c r="W459" s="13" t="n">
        <v>0.0234066299112286</v>
      </c>
      <c r="X459" s="13" t="n">
        <f aca="false">PRODUCT(V459:W459)</f>
        <v>-4.03809744086424E-007</v>
      </c>
      <c r="Y459" s="56"/>
      <c r="Z459" s="56"/>
      <c r="AA459" s="56"/>
      <c r="AB459" s="56"/>
      <c r="AC459" s="57"/>
      <c r="AD459" s="56"/>
      <c r="AE459" s="56"/>
      <c r="AF459" s="56"/>
      <c r="AG459" s="56"/>
      <c r="AH459" s="56"/>
      <c r="AI459" s="56"/>
      <c r="AJ459" s="56"/>
    </row>
    <row r="460" customFormat="false" ht="15" hidden="false" customHeight="false" outlineLevel="0" collapsed="false">
      <c r="T460" s="62"/>
      <c r="U460" s="35"/>
      <c r="V460" s="13" t="n">
        <v>-0.079523842008574</v>
      </c>
      <c r="W460" s="13" t="n">
        <v>-0.0855493687361619</v>
      </c>
      <c r="X460" s="13" t="n">
        <f aca="false">PRODUCT(V460:W460)</f>
        <v>0.00680321448330778</v>
      </c>
      <c r="Y460" s="56"/>
      <c r="Z460" s="56"/>
      <c r="AA460" s="56"/>
      <c r="AB460" s="56"/>
      <c r="AC460" s="57"/>
      <c r="AD460" s="56"/>
      <c r="AE460" s="56"/>
      <c r="AF460" s="56"/>
      <c r="AG460" s="56"/>
      <c r="AH460" s="56"/>
      <c r="AI460" s="56"/>
      <c r="AJ460" s="56"/>
    </row>
    <row r="461" customFormat="false" ht="15" hidden="false" customHeight="false" outlineLevel="0" collapsed="false">
      <c r="T461" s="62"/>
      <c r="U461" s="35"/>
      <c r="V461" s="13" t="n">
        <v>-0.0060957899347045</v>
      </c>
      <c r="W461" s="13" t="n">
        <v>-0.00223882856733404</v>
      </c>
      <c r="X461" s="13" t="n">
        <f aca="false">PRODUCT(V461:W461)</f>
        <v>1.36474286462837E-005</v>
      </c>
      <c r="Y461" s="56"/>
      <c r="Z461" s="56"/>
      <c r="AA461" s="56"/>
      <c r="AB461" s="56"/>
      <c r="AC461" s="57"/>
      <c r="AD461" s="56"/>
      <c r="AE461" s="56"/>
      <c r="AF461" s="56"/>
      <c r="AG461" s="56"/>
      <c r="AH461" s="56"/>
      <c r="AI461" s="56"/>
      <c r="AJ461" s="56"/>
    </row>
    <row r="462" customFormat="false" ht="15" hidden="false" customHeight="false" outlineLevel="0" collapsed="false">
      <c r="T462" s="62"/>
      <c r="U462" s="35"/>
      <c r="V462" s="13" t="n">
        <v>-0.12004874547498</v>
      </c>
      <c r="W462" s="13" t="n">
        <v>-0.153092839402529</v>
      </c>
      <c r="X462" s="13" t="n">
        <f aca="false">PRODUCT(V462:W462)</f>
        <v>0.0183786033114762</v>
      </c>
      <c r="Y462" s="56"/>
      <c r="Z462" s="56"/>
      <c r="AA462" s="56"/>
      <c r="AB462" s="56"/>
      <c r="AC462" s="57"/>
      <c r="AD462" s="56"/>
      <c r="AE462" s="56"/>
      <c r="AF462" s="56"/>
      <c r="AG462" s="56"/>
      <c r="AH462" s="56"/>
      <c r="AI462" s="56"/>
      <c r="AJ462" s="56"/>
    </row>
    <row r="463" customFormat="false" ht="15" hidden="false" customHeight="false" outlineLevel="0" collapsed="false">
      <c r="T463" s="62"/>
      <c r="U463" s="35"/>
      <c r="V463" s="13" t="n">
        <v>-0.195999862630521</v>
      </c>
      <c r="W463" s="13" t="n">
        <v>-0.209328580913109</v>
      </c>
      <c r="X463" s="13" t="n">
        <f aca="false">PRODUCT(V463:W463)</f>
        <v>0.0410283731036113</v>
      </c>
      <c r="Y463" s="56"/>
      <c r="Z463" s="56"/>
      <c r="AA463" s="56"/>
      <c r="AB463" s="56"/>
      <c r="AC463" s="57"/>
      <c r="AD463" s="56"/>
      <c r="AE463" s="56"/>
      <c r="AF463" s="56"/>
      <c r="AG463" s="56"/>
      <c r="AH463" s="56"/>
      <c r="AI463" s="56"/>
      <c r="AJ463" s="56"/>
    </row>
    <row r="464" customFormat="false" ht="15" hidden="false" customHeight="false" outlineLevel="0" collapsed="false">
      <c r="T464" s="62"/>
      <c r="U464" s="35"/>
      <c r="V464" s="13" t="n">
        <v>0.0450228706798628</v>
      </c>
      <c r="W464" s="13" t="n">
        <v>0.110959430554681</v>
      </c>
      <c r="X464" s="13" t="n">
        <f aca="false">PRODUCT(V464:W464)</f>
        <v>0.00499571209257462</v>
      </c>
      <c r="Y464" s="56"/>
      <c r="Z464" s="56"/>
      <c r="AA464" s="56"/>
      <c r="AB464" s="56"/>
      <c r="AC464" s="57"/>
      <c r="AD464" s="56"/>
      <c r="AE464" s="56"/>
      <c r="AF464" s="56"/>
      <c r="AG464" s="56"/>
      <c r="AH464" s="56"/>
      <c r="AI464" s="56"/>
      <c r="AJ464" s="56"/>
    </row>
    <row r="465" customFormat="false" ht="15" hidden="false" customHeight="false" outlineLevel="0" collapsed="false">
      <c r="T465" s="62"/>
      <c r="U465" s="35"/>
      <c r="V465" s="13" t="n">
        <v>-0.0279061531087432</v>
      </c>
      <c r="W465" s="13" t="n">
        <v>0.0237164245191437</v>
      </c>
      <c r="X465" s="13" t="n">
        <f aca="false">PRODUCT(V465:W465)</f>
        <v>-0.000661834173823176</v>
      </c>
      <c r="Y465" s="56"/>
      <c r="Z465" s="56"/>
      <c r="AA465" s="56"/>
      <c r="AB465" s="56"/>
      <c r="AC465" s="57"/>
      <c r="AD465" s="56"/>
      <c r="AE465" s="56"/>
      <c r="AF465" s="56"/>
      <c r="AG465" s="56"/>
      <c r="AH465" s="56"/>
      <c r="AI465" s="56"/>
      <c r="AJ465" s="56"/>
    </row>
    <row r="466" customFormat="false" ht="15" hidden="false" customHeight="false" outlineLevel="0" collapsed="false">
      <c r="T466" s="62"/>
      <c r="U466" s="35"/>
      <c r="V466" s="13" t="n">
        <v>-0.0225625187302567</v>
      </c>
      <c r="W466" s="13" t="n">
        <v>0.0455280824270385</v>
      </c>
      <c r="X466" s="13" t="n">
        <f aca="false">PRODUCT(V466:W466)</f>
        <v>-0.00102722821251273</v>
      </c>
      <c r="Y466" s="56"/>
      <c r="Z466" s="56"/>
      <c r="AA466" s="56"/>
      <c r="AB466" s="56"/>
      <c r="AC466" s="57"/>
      <c r="AD466" s="56"/>
      <c r="AE466" s="56"/>
      <c r="AF466" s="56"/>
      <c r="AG466" s="56"/>
      <c r="AH466" s="56"/>
      <c r="AI466" s="56"/>
      <c r="AJ466" s="56"/>
    </row>
    <row r="467" customFormat="false" ht="15" hidden="false" customHeight="false" outlineLevel="0" collapsed="false">
      <c r="T467" s="62"/>
      <c r="U467" s="35"/>
      <c r="V467" s="13" t="n">
        <v>0.0655036064994601</v>
      </c>
      <c r="W467" s="13" t="n">
        <v>0.0393077065288061</v>
      </c>
      <c r="X467" s="13" t="n">
        <f aca="false">PRODUCT(V467:W467)</f>
        <v>0.00257479654085917</v>
      </c>
      <c r="Y467" s="56"/>
      <c r="Z467" s="56"/>
      <c r="AA467" s="56"/>
      <c r="AB467" s="56"/>
      <c r="AC467" s="57"/>
      <c r="AD467" s="56"/>
      <c r="AE467" s="56"/>
      <c r="AF467" s="56"/>
      <c r="AG467" s="56"/>
      <c r="AH467" s="56"/>
      <c r="AI467" s="56"/>
      <c r="AJ467" s="56"/>
    </row>
    <row r="468" customFormat="false" ht="15" hidden="false" customHeight="false" outlineLevel="0" collapsed="false">
      <c r="T468" s="62"/>
      <c r="U468" s="35"/>
      <c r="V468" s="13" t="n">
        <v>-0.0388019357377107</v>
      </c>
      <c r="W468" s="13" t="n">
        <v>-0.0667197228925254</v>
      </c>
      <c r="X468" s="13" t="n">
        <f aca="false">PRODUCT(V468:W468)</f>
        <v>0.00258885440011364</v>
      </c>
      <c r="Y468" s="56"/>
      <c r="Z468" s="56"/>
      <c r="AA468" s="56"/>
      <c r="AB468" s="56"/>
      <c r="AC468" s="57"/>
      <c r="AD468" s="56"/>
      <c r="AE468" s="56"/>
      <c r="AF468" s="56"/>
      <c r="AG468" s="56"/>
      <c r="AH468" s="56"/>
      <c r="AI468" s="56"/>
      <c r="AJ468" s="56"/>
    </row>
    <row r="469" customFormat="false" ht="15" hidden="false" customHeight="false" outlineLevel="0" collapsed="false">
      <c r="T469" s="62"/>
      <c r="U469" s="35"/>
      <c r="V469" s="13" t="n">
        <v>-1.68253861430046E-005</v>
      </c>
      <c r="W469" s="13" t="n">
        <v>0.0334725971174805</v>
      </c>
      <c r="X469" s="13" t="n">
        <f aca="false">PRODUCT(V469:W469)</f>
        <v>-5.63189371710832E-007</v>
      </c>
      <c r="Y469" s="56"/>
      <c r="Z469" s="56"/>
      <c r="AA469" s="56"/>
      <c r="AB469" s="56"/>
      <c r="AC469" s="57"/>
      <c r="AD469" s="56"/>
      <c r="AE469" s="56"/>
      <c r="AF469" s="56"/>
      <c r="AG469" s="56"/>
      <c r="AH469" s="56"/>
      <c r="AI469" s="56"/>
      <c r="AJ469" s="56"/>
    </row>
    <row r="470" customFormat="false" ht="15" hidden="false" customHeight="false" outlineLevel="0" collapsed="false">
      <c r="T470" s="62"/>
      <c r="U470" s="35"/>
      <c r="V470" s="13" t="n">
        <v>-0.0347440531508463</v>
      </c>
      <c r="W470" s="13" t="n">
        <v>-0.00217034976892982</v>
      </c>
      <c r="X470" s="13" t="n">
        <f aca="false">PRODUCT(V470:W470)</f>
        <v>7.54067477276246E-005</v>
      </c>
      <c r="Y470" s="56"/>
      <c r="Z470" s="56"/>
      <c r="AA470" s="56"/>
      <c r="AB470" s="56"/>
      <c r="AC470" s="57"/>
      <c r="AD470" s="56"/>
      <c r="AE470" s="56"/>
      <c r="AF470" s="56"/>
      <c r="AG470" s="56"/>
      <c r="AH470" s="56"/>
      <c r="AI470" s="56"/>
      <c r="AJ470" s="56"/>
    </row>
    <row r="471" customFormat="false" ht="15" hidden="false" customHeight="false" outlineLevel="0" collapsed="false">
      <c r="T471" s="62"/>
      <c r="U471" s="35"/>
      <c r="V471" s="13" t="n">
        <v>-0.0164044636239398</v>
      </c>
      <c r="W471" s="13" t="n">
        <v>-0.0173542650642524</v>
      </c>
      <c r="X471" s="13" t="n">
        <f aca="false">PRODUCT(V471:W471)</f>
        <v>0.000284687409966738</v>
      </c>
      <c r="Y471" s="56"/>
      <c r="Z471" s="56"/>
      <c r="AA471" s="56"/>
      <c r="AB471" s="56"/>
      <c r="AC471" s="57"/>
      <c r="AD471" s="56"/>
      <c r="AE471" s="56"/>
      <c r="AF471" s="56"/>
      <c r="AG471" s="56"/>
      <c r="AH471" s="56"/>
      <c r="AI471" s="56"/>
      <c r="AJ471" s="56"/>
    </row>
    <row r="472" customFormat="false" ht="15" hidden="false" customHeight="false" outlineLevel="0" collapsed="false">
      <c r="T472" s="62"/>
      <c r="U472" s="35"/>
      <c r="V472" s="13" t="n">
        <v>-0.0241061899177355</v>
      </c>
      <c r="W472" s="13" t="n">
        <v>0.0188299474502944</v>
      </c>
      <c r="X472" s="13" t="n">
        <f aca="false">PRODUCT(V472:W472)</f>
        <v>-0.000453918289377776</v>
      </c>
      <c r="Y472" s="56"/>
      <c r="Z472" s="56"/>
      <c r="AA472" s="56"/>
      <c r="AB472" s="56"/>
      <c r="AC472" s="57"/>
      <c r="AD472" s="56"/>
      <c r="AE472" s="56"/>
      <c r="AF472" s="56"/>
      <c r="AG472" s="56"/>
      <c r="AH472" s="56"/>
      <c r="AI472" s="56"/>
      <c r="AJ472" s="56"/>
    </row>
    <row r="473" customFormat="false" ht="15" hidden="false" customHeight="false" outlineLevel="0" collapsed="false">
      <c r="T473" s="62"/>
      <c r="U473" s="35"/>
      <c r="V473" s="13" t="n">
        <v>0.0648956002343848</v>
      </c>
      <c r="W473" s="13" t="n">
        <v>0.0707322725635038</v>
      </c>
      <c r="X473" s="13" t="n">
        <f aca="false">PRODUCT(V473:W473)</f>
        <v>0.00459021328395069</v>
      </c>
      <c r="Y473" s="56"/>
      <c r="Z473" s="56"/>
      <c r="AA473" s="56"/>
      <c r="AB473" s="56"/>
      <c r="AC473" s="57"/>
      <c r="AD473" s="56"/>
      <c r="AE473" s="56"/>
      <c r="AF473" s="56"/>
      <c r="AG473" s="56"/>
      <c r="AH473" s="56"/>
      <c r="AI473" s="56"/>
      <c r="AJ473" s="56"/>
    </row>
    <row r="474" customFormat="false" ht="15" hidden="false" customHeight="false" outlineLevel="0" collapsed="false">
      <c r="T474" s="62"/>
      <c r="U474" s="35" t="s">
        <v>25</v>
      </c>
      <c r="V474" s="12" t="n">
        <f aca="false" t="array" ref="V474:V494">'Data Gathering and ect'!F201:F221</f>
        <v>0.0264997946811612</v>
      </c>
      <c r="W474" s="12" t="n">
        <f aca="false" t="array" ref="W474:W494">'Data Gathering and ect'!F137:F157</f>
        <v>-0.0165751114762571</v>
      </c>
      <c r="X474" s="12" t="n">
        <f aca="false">PRODUCT(V474:W474)</f>
        <v>-0.000439237050938172</v>
      </c>
      <c r="Y474" s="43" t="n">
        <f aca="false">SUM(V474:V494)</f>
        <v>0.0557037353631662</v>
      </c>
      <c r="Z474" s="43" t="n">
        <f aca="false">SUM(W474:W494)</f>
        <v>-0.203461465269248</v>
      </c>
      <c r="AA474" s="43" t="n">
        <f aca="false">SUM(X474:X494)</f>
        <v>0.00130173496639882</v>
      </c>
      <c r="AB474" s="43" t="n">
        <f aca="false">Y474*Z474</f>
        <v>-0.0113335636179602</v>
      </c>
      <c r="AC474" s="43" t="n">
        <f aca="false">COUNT(V474:V494)</f>
        <v>21</v>
      </c>
      <c r="AD474" s="43" t="n">
        <f aca="false" t="array" ref="AD474:AD474">SUM(POWER(V474:V494,2))</f>
        <v>0.00923370961463981</v>
      </c>
      <c r="AE474" s="43" t="n">
        <f aca="false" t="array" ref="AE474:AE474">SUM(POWER(W474:W494,2))</f>
        <v>0.00851291255220964</v>
      </c>
      <c r="AF474" s="43" t="n">
        <f aca="false">(AA474*AC474)-(AB474)</f>
        <v>0.0386699979123354</v>
      </c>
      <c r="AG474" s="43" t="n">
        <f aca="false">(AC474*AD474)-(POWER(Y474,2))</f>
        <v>0.190804995774026</v>
      </c>
      <c r="AH474" s="43" t="n">
        <f aca="false">(AC474*AE474)-(POWER(Z474,2))</f>
        <v>0.137374595746893</v>
      </c>
      <c r="AI474" s="43" t="n">
        <f aca="false">SQRT(AG474*AH474)</f>
        <v>0.161900460656987</v>
      </c>
      <c r="AJ474" s="43" t="n">
        <f aca="false">AF474 / AI474</f>
        <v>0.2388504501804</v>
      </c>
    </row>
    <row r="475" customFormat="false" ht="15" hidden="false" customHeight="false" outlineLevel="0" collapsed="false">
      <c r="T475" s="62"/>
      <c r="U475" s="35"/>
      <c r="V475" s="12" t="n">
        <v>0.0482845070700524</v>
      </c>
      <c r="W475" s="12" t="n">
        <v>-0.00736726044012492</v>
      </c>
      <c r="X475" s="12" t="n">
        <f aca="false">PRODUCT(V475:W475)</f>
        <v>-0.000355724538808129</v>
      </c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</row>
    <row r="476" customFormat="false" ht="15" hidden="false" customHeight="false" outlineLevel="0" collapsed="false">
      <c r="T476" s="62"/>
      <c r="U476" s="35"/>
      <c r="V476" s="12" t="n">
        <v>-0.0154548311049831</v>
      </c>
      <c r="W476" s="12" t="n">
        <v>-0.0204525945600373</v>
      </c>
      <c r="X476" s="12" t="n">
        <f aca="false">PRODUCT(V476:W476)</f>
        <v>0.000316091394584073</v>
      </c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</row>
    <row r="477" customFormat="false" ht="15" hidden="false" customHeight="false" outlineLevel="0" collapsed="false">
      <c r="T477" s="62"/>
      <c r="U477" s="35"/>
      <c r="V477" s="12" t="n">
        <v>0.00695980318127987</v>
      </c>
      <c r="W477" s="12" t="n">
        <v>-0.00486105117769142</v>
      </c>
      <c r="X477" s="12" t="n">
        <f aca="false">PRODUCT(V477:W477)</f>
        <v>-3.3831959450861E-005</v>
      </c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</row>
    <row r="478" customFormat="false" ht="15" hidden="false" customHeight="false" outlineLevel="0" collapsed="false">
      <c r="T478" s="62"/>
      <c r="U478" s="35"/>
      <c r="V478" s="12" t="n">
        <v>-0.00527876259449478</v>
      </c>
      <c r="W478" s="12" t="n">
        <v>-0.0547353984417978</v>
      </c>
      <c r="X478" s="12" t="n">
        <f aca="false">PRODUCT(V478:W478)</f>
        <v>0.00028893517388933</v>
      </c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</row>
    <row r="479" customFormat="false" ht="15" hidden="false" customHeight="false" outlineLevel="0" collapsed="false">
      <c r="T479" s="62"/>
      <c r="U479" s="35"/>
      <c r="V479" s="12" t="n">
        <v>-0.0398357218478322</v>
      </c>
      <c r="W479" s="12" t="n">
        <v>0.00370001424487398</v>
      </c>
      <c r="X479" s="12" t="n">
        <f aca="false">PRODUCT(V479:W479)</f>
        <v>-0.000147392738291817</v>
      </c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</row>
    <row r="480" customFormat="false" ht="15" hidden="false" customHeight="false" outlineLevel="0" collapsed="false">
      <c r="T480" s="62"/>
      <c r="U480" s="35"/>
      <c r="V480" s="12" t="n">
        <v>0.0265265483567836</v>
      </c>
      <c r="W480" s="12" t="n">
        <v>0.0139810677216499</v>
      </c>
      <c r="X480" s="12" t="n">
        <f aca="false">PRODUCT(V480:W480)</f>
        <v>0.000370869468997812</v>
      </c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</row>
    <row r="481" customFormat="false" ht="15" hidden="false" customHeight="false" outlineLevel="0" collapsed="false">
      <c r="T481" s="62"/>
      <c r="U481" s="35"/>
      <c r="V481" s="12" t="n">
        <v>0.00336575555414598</v>
      </c>
      <c r="W481" s="12" t="n">
        <v>0.0116891668292016</v>
      </c>
      <c r="X481" s="12" t="n">
        <f aca="false">PRODUCT(V481:W481)</f>
        <v>3.93428781787242E-005</v>
      </c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</row>
    <row r="482" customFormat="false" ht="15" hidden="false" customHeight="false" outlineLevel="0" collapsed="false">
      <c r="T482" s="62"/>
      <c r="U482" s="35"/>
      <c r="V482" s="12" t="n">
        <v>-0.0160060600042264</v>
      </c>
      <c r="W482" s="12" t="n">
        <v>-0.0191718528169549</v>
      </c>
      <c r="X482" s="12" t="n">
        <f aca="false">PRODUCT(V482:W482)</f>
        <v>0.000306865826580377</v>
      </c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</row>
    <row r="483" customFormat="false" ht="15" hidden="false" customHeight="false" outlineLevel="0" collapsed="false">
      <c r="T483" s="62"/>
      <c r="U483" s="35"/>
      <c r="V483" s="12" t="n">
        <v>0.0156459847118668</v>
      </c>
      <c r="W483" s="12" t="n">
        <v>0.00884031632294757</v>
      </c>
      <c r="X483" s="12" t="n">
        <f aca="false">PRODUCT(V483:W483)</f>
        <v>0.000138315454036904</v>
      </c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</row>
    <row r="484" customFormat="false" ht="15" hidden="false" customHeight="false" outlineLevel="0" collapsed="false">
      <c r="T484" s="62"/>
      <c r="U484" s="35"/>
      <c r="V484" s="12" t="n">
        <v>-0.0254434591703268</v>
      </c>
      <c r="W484" s="12" t="n">
        <v>-0.00665123850344251</v>
      </c>
      <c r="X484" s="12" t="n">
        <f aca="false">PRODUCT(V484:W484)</f>
        <v>0.000169230515294445</v>
      </c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</row>
    <row r="485" customFormat="false" ht="15" hidden="false" customHeight="false" outlineLevel="0" collapsed="false">
      <c r="T485" s="62"/>
      <c r="U485" s="35"/>
      <c r="V485" s="12" t="n">
        <v>0.00945376707201984</v>
      </c>
      <c r="W485" s="12" t="n">
        <v>-0.0355662761910942</v>
      </c>
      <c r="X485" s="12" t="n">
        <f aca="false">PRODUCT(V485:W485)</f>
        <v>-0.00033623529072973</v>
      </c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</row>
    <row r="486" customFormat="false" ht="15" hidden="false" customHeight="false" outlineLevel="0" collapsed="false">
      <c r="T486" s="62"/>
      <c r="U486" s="35"/>
      <c r="V486" s="12" t="n">
        <v>0.00113046333323208</v>
      </c>
      <c r="W486" s="12" t="n">
        <v>-0.00755542964234834</v>
      </c>
      <c r="X486" s="12" t="n">
        <f aca="false">PRODUCT(V486:W486)</f>
        <v>-8.54113617748957E-006</v>
      </c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</row>
    <row r="487" customFormat="false" ht="15" hidden="false" customHeight="false" outlineLevel="0" collapsed="false">
      <c r="T487" s="62"/>
      <c r="U487" s="35"/>
      <c r="V487" s="12" t="n">
        <v>0.0085917435067806</v>
      </c>
      <c r="W487" s="12" t="n">
        <v>0.0189202907574124</v>
      </c>
      <c r="X487" s="12" t="n">
        <f aca="false">PRODUCT(V487:W487)</f>
        <v>0.000162558285261399</v>
      </c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</row>
    <row r="488" customFormat="false" ht="15" hidden="false" customHeight="false" outlineLevel="0" collapsed="false">
      <c r="T488" s="62"/>
      <c r="U488" s="35"/>
      <c r="V488" s="12" t="n">
        <v>0.0109709681855401</v>
      </c>
      <c r="W488" s="12" t="n">
        <v>-0.00322414644134916</v>
      </c>
      <c r="X488" s="12" t="n">
        <f aca="false">PRODUCT(V488:W488)</f>
        <v>-3.5372008033564E-005</v>
      </c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</row>
    <row r="489" customFormat="false" ht="15" hidden="false" customHeight="false" outlineLevel="0" collapsed="false">
      <c r="T489" s="62"/>
      <c r="U489" s="35"/>
      <c r="V489" s="12" t="n">
        <v>0.0191127508116731</v>
      </c>
      <c r="W489" s="12" t="n">
        <v>-0.0163826280142114</v>
      </c>
      <c r="X489" s="12" t="n">
        <f aca="false">PRODUCT(V489:W489)</f>
        <v>-0.000313117086875957</v>
      </c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</row>
    <row r="490" customFormat="false" ht="15" hidden="false" customHeight="false" outlineLevel="0" collapsed="false">
      <c r="T490" s="62"/>
      <c r="U490" s="35"/>
      <c r="V490" s="12" t="n">
        <v>0.0219286346064775</v>
      </c>
      <c r="W490" s="12" t="n">
        <v>8.30905482125388E-005</v>
      </c>
      <c r="X490" s="12" t="n">
        <f aca="false">PRODUCT(V490:W490)</f>
        <v>1.82206227100467E-006</v>
      </c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</row>
    <row r="491" customFormat="false" ht="15" hidden="false" customHeight="false" outlineLevel="0" collapsed="false">
      <c r="T491" s="62"/>
      <c r="U491" s="35"/>
      <c r="V491" s="12" t="n">
        <v>0.0146698101838458</v>
      </c>
      <c r="W491" s="12" t="n">
        <v>0.000705513872944152</v>
      </c>
      <c r="X491" s="12" t="n">
        <f aca="false">PRODUCT(V491:W491)</f>
        <v>1.03497545981606E-005</v>
      </c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</row>
    <row r="492" customFormat="false" ht="15" hidden="false" customHeight="false" outlineLevel="0" collapsed="false">
      <c r="T492" s="62"/>
      <c r="U492" s="35"/>
      <c r="V492" s="12" t="n">
        <v>-0.013393519068357</v>
      </c>
      <c r="W492" s="12" t="n">
        <v>-0.0385239364907335</v>
      </c>
      <c r="X492" s="12" t="n">
        <f aca="false">PRODUCT(V492:W492)</f>
        <v>0.000515971077976813</v>
      </c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</row>
    <row r="493" customFormat="false" ht="15" hidden="false" customHeight="false" outlineLevel="0" collapsed="false">
      <c r="T493" s="62"/>
      <c r="U493" s="35"/>
      <c r="V493" s="12" t="n">
        <v>-0.0246232446655386</v>
      </c>
      <c r="W493" s="12" t="n">
        <v>-0.0170775622471133</v>
      </c>
      <c r="X493" s="12" t="n">
        <f aca="false">PRODUCT(V493:W493)</f>
        <v>0.000420504993501636</v>
      </c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</row>
    <row r="494" customFormat="false" ht="15" hidden="false" customHeight="false" outlineLevel="0" collapsed="false">
      <c r="T494" s="62"/>
      <c r="U494" s="35"/>
      <c r="V494" s="12" t="n">
        <v>-0.0174011974359338</v>
      </c>
      <c r="W494" s="12" t="n">
        <v>-0.0132364391233342</v>
      </c>
      <c r="X494" s="12" t="n">
        <f aca="false">PRODUCT(V494:W494)</f>
        <v>0.000230329890533857</v>
      </c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</row>
    <row r="495" customFormat="false" ht="15" hidden="false" customHeight="false" outlineLevel="0" collapsed="false">
      <c r="T495" s="62"/>
      <c r="U495" s="35"/>
      <c r="V495" s="13" t="n">
        <f aca="false" t="array" ref="V495:V520">'Data Gathering and ect'!F222:F247</f>
        <v>0.0176572834822446</v>
      </c>
      <c r="W495" s="13" t="n">
        <f aca="false" t="array" ref="W495:W520">'Data Gathering and ect'!F158:F183</f>
        <v>-0.023361829288616</v>
      </c>
      <c r="X495" s="13" t="n">
        <f aca="false">PRODUCT(V495:W495)</f>
        <v>-0.000412506442412897</v>
      </c>
      <c r="Y495" s="56" t="n">
        <f aca="false">SUM(V495:V520)</f>
        <v>-0.44826742573188</v>
      </c>
      <c r="Z495" s="56" t="n">
        <f aca="false">SUM(W495:W520)</f>
        <v>-0.291079031091748</v>
      </c>
      <c r="AA495" s="56" t="n">
        <f aca="false">SUM(X495:X520)</f>
        <v>0.0682765762503431</v>
      </c>
      <c r="AB495" s="56" t="n">
        <f aca="false">Y495*Z495</f>
        <v>0.130481247952028</v>
      </c>
      <c r="AC495" s="57" t="n">
        <f aca="false">COUNT(V495:V520)</f>
        <v>26</v>
      </c>
      <c r="AD495" s="56" t="n">
        <f aca="false" t="array" ref="AD495:AD495">SUM(POWER(V495:V520,2))</f>
        <v>0.0815875416697642</v>
      </c>
      <c r="AE495" s="56" t="n">
        <f aca="false" t="array" ref="AE495:AE495">SUM(POWER(W495:W520,2))</f>
        <v>0.089643219554737</v>
      </c>
      <c r="AF495" s="56" t="n">
        <f aca="false">(AA495*AC495)-(AB495)</f>
        <v>1.64470973455689</v>
      </c>
      <c r="AG495" s="56" t="n">
        <f aca="false">(AC495*AD495)-(POWER(Y495,2))</f>
        <v>1.92033239844158</v>
      </c>
      <c r="AH495" s="56" t="n">
        <f aca="false">(AC495*AE495)-(POWER(Z495,2))</f>
        <v>2.24599670608185</v>
      </c>
      <c r="AI495" s="56" t="n">
        <f aca="false">SQRT(AG495*AH495)</f>
        <v>2.07679085164637</v>
      </c>
      <c r="AJ495" s="56" t="n">
        <f aca="false">AF495 / AI495</f>
        <v>0.791947698177241</v>
      </c>
    </row>
    <row r="496" customFormat="false" ht="15" hidden="false" customHeight="false" outlineLevel="0" collapsed="false">
      <c r="T496" s="62"/>
      <c r="U496" s="35"/>
      <c r="V496" s="13" t="n">
        <v>0.0151202791694018</v>
      </c>
      <c r="W496" s="13" t="n">
        <v>0.0172900497344681</v>
      </c>
      <c r="X496" s="13" t="n">
        <f aca="false">PRODUCT(V496:W496)</f>
        <v>0.000261430378837999</v>
      </c>
      <c r="Y496" s="56"/>
      <c r="Z496" s="56"/>
      <c r="AA496" s="56"/>
      <c r="AB496" s="56"/>
      <c r="AC496" s="57"/>
      <c r="AD496" s="56"/>
      <c r="AE496" s="56"/>
      <c r="AF496" s="56"/>
      <c r="AG496" s="56"/>
      <c r="AH496" s="56"/>
      <c r="AI496" s="56"/>
      <c r="AJ496" s="56"/>
    </row>
    <row r="497" customFormat="false" ht="15" hidden="false" customHeight="false" outlineLevel="0" collapsed="false">
      <c r="T497" s="62"/>
      <c r="U497" s="35"/>
      <c r="V497" s="13" t="n">
        <v>-0.0320394270617079</v>
      </c>
      <c r="W497" s="13" t="n">
        <v>-0.0371437596592941</v>
      </c>
      <c r="X497" s="13" t="n">
        <f aca="false">PRODUCT(V497:W497)</f>
        <v>0.00119006477840156</v>
      </c>
      <c r="Y497" s="56"/>
      <c r="Z497" s="56"/>
      <c r="AA497" s="56"/>
      <c r="AB497" s="56"/>
      <c r="AC497" s="57"/>
      <c r="AD497" s="56"/>
      <c r="AE497" s="56"/>
      <c r="AF497" s="56"/>
      <c r="AG497" s="56"/>
      <c r="AH497" s="56"/>
      <c r="AI497" s="56"/>
      <c r="AJ497" s="56"/>
    </row>
    <row r="498" customFormat="false" ht="15" hidden="false" customHeight="false" outlineLevel="0" collapsed="false">
      <c r="T498" s="62"/>
      <c r="U498" s="35"/>
      <c r="V498" s="13" t="n">
        <v>0.0110554404973255</v>
      </c>
      <c r="W498" s="13" t="n">
        <v>0.0281537601797357</v>
      </c>
      <c r="X498" s="13" t="n">
        <f aca="false">PRODUCT(V498:W498)</f>
        <v>0.00031125222044304</v>
      </c>
      <c r="Y498" s="56"/>
      <c r="Z498" s="56"/>
      <c r="AA498" s="56"/>
      <c r="AB498" s="56"/>
      <c r="AC498" s="57"/>
      <c r="AD498" s="56"/>
      <c r="AE498" s="56"/>
      <c r="AF498" s="56"/>
      <c r="AG498" s="56"/>
      <c r="AH498" s="56"/>
      <c r="AI498" s="56"/>
      <c r="AJ498" s="56"/>
    </row>
    <row r="499" customFormat="false" ht="15" hidden="false" customHeight="false" outlineLevel="0" collapsed="false">
      <c r="T499" s="62"/>
      <c r="U499" s="35"/>
      <c r="V499" s="13" t="n">
        <v>-0.0103395354434825</v>
      </c>
      <c r="W499" s="13" t="n">
        <v>0.00507985634745367</v>
      </c>
      <c r="X499" s="13" t="n">
        <f aca="false">PRODUCT(V499:W499)</f>
        <v>-5.25233547522968E-005</v>
      </c>
      <c r="Y499" s="56"/>
      <c r="Z499" s="56"/>
      <c r="AA499" s="56"/>
      <c r="AB499" s="56"/>
      <c r="AC499" s="57"/>
      <c r="AD499" s="56"/>
      <c r="AE499" s="56"/>
      <c r="AF499" s="56"/>
      <c r="AG499" s="56"/>
      <c r="AH499" s="56"/>
      <c r="AI499" s="56"/>
      <c r="AJ499" s="56"/>
    </row>
    <row r="500" customFormat="false" ht="15" hidden="false" customHeight="false" outlineLevel="0" collapsed="false">
      <c r="T500" s="62"/>
      <c r="U500" s="35"/>
      <c r="V500" s="13" t="n">
        <v>-0.00923753845455</v>
      </c>
      <c r="W500" s="13" t="n">
        <v>-0.0335655926492908</v>
      </c>
      <c r="X500" s="13" t="n">
        <f aca="false">PRODUCT(V500:W500)</f>
        <v>0.000310063452847585</v>
      </c>
      <c r="Y500" s="56"/>
      <c r="Z500" s="56"/>
      <c r="AA500" s="56"/>
      <c r="AB500" s="56"/>
      <c r="AC500" s="57"/>
      <c r="AD500" s="56"/>
      <c r="AE500" s="56"/>
      <c r="AF500" s="56"/>
      <c r="AG500" s="56"/>
      <c r="AH500" s="56"/>
      <c r="AI500" s="56"/>
      <c r="AJ500" s="56"/>
    </row>
    <row r="501" customFormat="false" ht="15" hidden="false" customHeight="false" outlineLevel="0" collapsed="false">
      <c r="T501" s="62"/>
      <c r="U501" s="35"/>
      <c r="V501" s="13" t="n">
        <v>0.0105541158690246</v>
      </c>
      <c r="W501" s="13" t="n">
        <v>0.0119882549233612</v>
      </c>
      <c r="X501" s="13" t="n">
        <f aca="false">PRODUCT(V501:W501)</f>
        <v>0.000126525431528559</v>
      </c>
      <c r="Y501" s="56"/>
      <c r="Z501" s="56"/>
      <c r="AA501" s="56"/>
      <c r="AB501" s="56"/>
      <c r="AC501" s="57"/>
      <c r="AD501" s="56"/>
      <c r="AE501" s="56"/>
      <c r="AF501" s="56"/>
      <c r="AG501" s="56"/>
      <c r="AH501" s="56"/>
      <c r="AI501" s="56"/>
      <c r="AJ501" s="56"/>
    </row>
    <row r="502" customFormat="false" ht="15" hidden="false" customHeight="false" outlineLevel="0" collapsed="false">
      <c r="T502" s="62"/>
      <c r="U502" s="35"/>
      <c r="V502" s="13" t="n">
        <v>-0.0199827280870473</v>
      </c>
      <c r="W502" s="13" t="n">
        <v>0.0261701880295817</v>
      </c>
      <c r="X502" s="13" t="n">
        <f aca="false">PRODUCT(V502:W502)</f>
        <v>-0.000522951751382031</v>
      </c>
      <c r="Y502" s="56"/>
      <c r="Z502" s="56"/>
      <c r="AA502" s="56"/>
      <c r="AB502" s="56"/>
      <c r="AC502" s="57"/>
      <c r="AD502" s="56"/>
      <c r="AE502" s="56"/>
      <c r="AF502" s="56"/>
      <c r="AG502" s="56"/>
      <c r="AH502" s="56"/>
      <c r="AI502" s="56"/>
      <c r="AJ502" s="56"/>
    </row>
    <row r="503" customFormat="false" ht="15" hidden="false" customHeight="false" outlineLevel="0" collapsed="false">
      <c r="T503" s="62"/>
      <c r="U503" s="35"/>
      <c r="V503" s="13" t="n">
        <v>-0.0483447743265382</v>
      </c>
      <c r="W503" s="13" t="n">
        <v>-0.086624891430251</v>
      </c>
      <c r="X503" s="13" t="n">
        <f aca="false">PRODUCT(V503:W503)</f>
        <v>0.00418786082725636</v>
      </c>
      <c r="Y503" s="56"/>
      <c r="Z503" s="56"/>
      <c r="AA503" s="56"/>
      <c r="AB503" s="56"/>
      <c r="AC503" s="57"/>
      <c r="AD503" s="56"/>
      <c r="AE503" s="56"/>
      <c r="AF503" s="56"/>
      <c r="AG503" s="56"/>
      <c r="AH503" s="56"/>
      <c r="AI503" s="56"/>
      <c r="AJ503" s="56"/>
    </row>
    <row r="504" customFormat="false" ht="15" hidden="false" customHeight="false" outlineLevel="0" collapsed="false">
      <c r="T504" s="62"/>
      <c r="U504" s="35"/>
      <c r="V504" s="13" t="n">
        <v>0.037637903122504</v>
      </c>
      <c r="W504" s="13" t="n">
        <v>0.0513667456357858</v>
      </c>
      <c r="X504" s="13" t="n">
        <f aca="false">PRODUCT(V504:W504)</f>
        <v>0.00193333659595801</v>
      </c>
      <c r="Y504" s="56"/>
      <c r="Z504" s="56"/>
      <c r="AA504" s="56"/>
      <c r="AB504" s="56"/>
      <c r="AC504" s="57"/>
      <c r="AD504" s="56"/>
      <c r="AE504" s="56"/>
      <c r="AF504" s="56"/>
      <c r="AG504" s="56"/>
      <c r="AH504" s="56"/>
      <c r="AI504" s="56"/>
      <c r="AJ504" s="56"/>
    </row>
    <row r="505" customFormat="false" ht="15" hidden="false" customHeight="false" outlineLevel="0" collapsed="false">
      <c r="T505" s="62"/>
      <c r="U505" s="35"/>
      <c r="V505" s="13" t="n">
        <v>-0.0295428902699211</v>
      </c>
      <c r="W505" s="13" t="n">
        <v>-0.0496645241573237</v>
      </c>
      <c r="X505" s="13" t="n">
        <f aca="false">PRODUCT(V505:W505)</f>
        <v>0.00146723358748766</v>
      </c>
      <c r="Y505" s="56"/>
      <c r="Z505" s="56"/>
      <c r="AA505" s="56"/>
      <c r="AB505" s="56"/>
      <c r="AC505" s="57"/>
      <c r="AD505" s="56"/>
      <c r="AE505" s="56"/>
      <c r="AF505" s="56"/>
      <c r="AG505" s="56"/>
      <c r="AH505" s="56"/>
      <c r="AI505" s="56"/>
      <c r="AJ505" s="56"/>
    </row>
    <row r="506" customFormat="false" ht="15" hidden="false" customHeight="false" outlineLevel="0" collapsed="false">
      <c r="T506" s="62"/>
      <c r="U506" s="35"/>
      <c r="V506" s="13" t="n">
        <v>-1.72519386865133E-005</v>
      </c>
      <c r="W506" s="13" t="n">
        <v>0.00562836665612387</v>
      </c>
      <c r="X506" s="13" t="n">
        <f aca="false">PRODUCT(V506:W506)</f>
        <v>-9.71002364566649E-008</v>
      </c>
      <c r="Y506" s="56"/>
      <c r="Z506" s="56"/>
      <c r="AA506" s="56"/>
      <c r="AB506" s="56"/>
      <c r="AC506" s="57"/>
      <c r="AD506" s="56"/>
      <c r="AE506" s="56"/>
      <c r="AF506" s="56"/>
      <c r="AG506" s="56"/>
      <c r="AH506" s="56"/>
      <c r="AI506" s="56"/>
      <c r="AJ506" s="56"/>
    </row>
    <row r="507" customFormat="false" ht="15" hidden="false" customHeight="false" outlineLevel="0" collapsed="false">
      <c r="T507" s="62"/>
      <c r="U507" s="35"/>
      <c r="V507" s="13" t="n">
        <v>-0.079523842008574</v>
      </c>
      <c r="W507" s="13" t="n">
        <v>-0.0733491729754263</v>
      </c>
      <c r="X507" s="13" t="n">
        <f aca="false">PRODUCT(V507:W507)</f>
        <v>0.00583300804315737</v>
      </c>
      <c r="Y507" s="56"/>
      <c r="Z507" s="56"/>
      <c r="AA507" s="56"/>
      <c r="AB507" s="56"/>
      <c r="AC507" s="57"/>
      <c r="AD507" s="56"/>
      <c r="AE507" s="56"/>
      <c r="AF507" s="56"/>
      <c r="AG507" s="56"/>
      <c r="AH507" s="56"/>
      <c r="AI507" s="56"/>
      <c r="AJ507" s="56"/>
    </row>
    <row r="508" customFormat="false" ht="15" hidden="false" customHeight="false" outlineLevel="0" collapsed="false">
      <c r="T508" s="62"/>
      <c r="U508" s="35"/>
      <c r="V508" s="13" t="n">
        <v>-0.0060957899347045</v>
      </c>
      <c r="W508" s="13" t="n">
        <v>-0.0288392613724096</v>
      </c>
      <c r="X508" s="13" t="n">
        <f aca="false">PRODUCT(V508:W508)</f>
        <v>0.000175798079198247</v>
      </c>
      <c r="Y508" s="56"/>
      <c r="Z508" s="56"/>
      <c r="AA508" s="56"/>
      <c r="AB508" s="56"/>
      <c r="AC508" s="57"/>
      <c r="AD508" s="56"/>
      <c r="AE508" s="56"/>
      <c r="AF508" s="56"/>
      <c r="AG508" s="56"/>
      <c r="AH508" s="56"/>
      <c r="AI508" s="56"/>
      <c r="AJ508" s="56"/>
    </row>
    <row r="509" customFormat="false" ht="15" hidden="false" customHeight="false" outlineLevel="0" collapsed="false">
      <c r="T509" s="62"/>
      <c r="U509" s="35"/>
      <c r="V509" s="13" t="n">
        <v>-0.12004874547498</v>
      </c>
      <c r="W509" s="13" t="n">
        <v>-0.137582112305408</v>
      </c>
      <c r="X509" s="13" t="n">
        <f aca="false">PRODUCT(V509:W509)</f>
        <v>0.016516559982062</v>
      </c>
      <c r="Y509" s="56"/>
      <c r="Z509" s="56"/>
      <c r="AA509" s="56"/>
      <c r="AB509" s="56"/>
      <c r="AC509" s="57"/>
      <c r="AD509" s="56"/>
      <c r="AE509" s="56"/>
      <c r="AF509" s="56"/>
      <c r="AG509" s="56"/>
      <c r="AH509" s="56"/>
      <c r="AI509" s="56"/>
      <c r="AJ509" s="56"/>
    </row>
    <row r="510" customFormat="false" ht="15" hidden="false" customHeight="false" outlineLevel="0" collapsed="false">
      <c r="T510" s="62"/>
      <c r="U510" s="35"/>
      <c r="V510" s="13" t="n">
        <v>-0.195999862630521</v>
      </c>
      <c r="W510" s="13" t="n">
        <v>-0.160490109664439</v>
      </c>
      <c r="X510" s="13" t="n">
        <f aca="false">PRODUCT(V510:W510)</f>
        <v>0.0314560394477873</v>
      </c>
      <c r="Y510" s="56"/>
      <c r="Z510" s="56"/>
      <c r="AA510" s="56"/>
      <c r="AB510" s="56"/>
      <c r="AC510" s="57"/>
      <c r="AD510" s="56"/>
      <c r="AE510" s="56"/>
      <c r="AF510" s="56"/>
      <c r="AG510" s="56"/>
      <c r="AH510" s="56"/>
      <c r="AI510" s="56"/>
      <c r="AJ510" s="56"/>
    </row>
    <row r="511" customFormat="false" ht="15" hidden="false" customHeight="false" outlineLevel="0" collapsed="false">
      <c r="T511" s="62"/>
      <c r="U511" s="35"/>
      <c r="V511" s="13" t="n">
        <v>0.0450228706798628</v>
      </c>
      <c r="W511" s="13" t="n">
        <v>0.0297539369524458</v>
      </c>
      <c r="X511" s="13" t="n">
        <f aca="false">PRODUCT(V511:W511)</f>
        <v>0.00133960765562676</v>
      </c>
      <c r="Y511" s="56"/>
      <c r="Z511" s="56"/>
      <c r="AA511" s="56"/>
      <c r="AB511" s="56"/>
      <c r="AC511" s="57"/>
      <c r="AD511" s="56"/>
      <c r="AE511" s="56"/>
      <c r="AF511" s="56"/>
      <c r="AG511" s="56"/>
      <c r="AH511" s="56"/>
      <c r="AI511" s="56"/>
      <c r="AJ511" s="56"/>
    </row>
    <row r="512" customFormat="false" ht="15" hidden="false" customHeight="false" outlineLevel="0" collapsed="false">
      <c r="T512" s="62"/>
      <c r="U512" s="35"/>
      <c r="V512" s="13" t="n">
        <v>-0.0279061531087432</v>
      </c>
      <c r="W512" s="13" t="n">
        <v>0.0363105150162877</v>
      </c>
      <c r="X512" s="13" t="n">
        <f aca="false">PRODUCT(V512:W512)</f>
        <v>-0.00101328679150184</v>
      </c>
      <c r="Y512" s="56"/>
      <c r="Z512" s="56"/>
      <c r="AA512" s="56"/>
      <c r="AB512" s="56"/>
      <c r="AC512" s="57"/>
      <c r="AD512" s="56"/>
      <c r="AE512" s="56"/>
      <c r="AF512" s="56"/>
      <c r="AG512" s="56"/>
      <c r="AH512" s="56"/>
      <c r="AI512" s="56"/>
      <c r="AJ512" s="56"/>
    </row>
    <row r="513" customFormat="false" ht="15" hidden="false" customHeight="false" outlineLevel="0" collapsed="false">
      <c r="T513" s="62"/>
      <c r="U513" s="35"/>
      <c r="V513" s="13" t="n">
        <v>-0.0225625187302567</v>
      </c>
      <c r="W513" s="13" t="n">
        <v>0.0947155701478657</v>
      </c>
      <c r="X513" s="13" t="n">
        <f aca="false">PRODUCT(V513:W513)</f>
        <v>-0.00213702182550816</v>
      </c>
      <c r="Y513" s="56"/>
      <c r="Z513" s="56"/>
      <c r="AA513" s="56"/>
      <c r="AB513" s="56"/>
      <c r="AC513" s="57"/>
      <c r="AD513" s="56"/>
      <c r="AE513" s="56"/>
      <c r="AF513" s="56"/>
      <c r="AG513" s="56"/>
      <c r="AH513" s="56"/>
      <c r="AI513" s="56"/>
      <c r="AJ513" s="56"/>
    </row>
    <row r="514" customFormat="false" ht="15" hidden="false" customHeight="false" outlineLevel="0" collapsed="false">
      <c r="T514" s="62"/>
      <c r="U514" s="35"/>
      <c r="V514" s="13" t="n">
        <v>0.0655036064994601</v>
      </c>
      <c r="W514" s="13" t="n">
        <v>0.0674655061903415</v>
      </c>
      <c r="X514" s="13" t="n">
        <f aca="false">PRODUCT(V514:W514)</f>
        <v>0.00441923396977902</v>
      </c>
      <c r="Y514" s="56"/>
      <c r="Z514" s="56"/>
      <c r="AA514" s="56"/>
      <c r="AB514" s="56"/>
      <c r="AC514" s="57"/>
      <c r="AD514" s="56"/>
      <c r="AE514" s="56"/>
      <c r="AF514" s="56"/>
      <c r="AG514" s="56"/>
      <c r="AH514" s="56"/>
      <c r="AI514" s="56"/>
      <c r="AJ514" s="56"/>
    </row>
    <row r="515" customFormat="false" ht="15" hidden="false" customHeight="false" outlineLevel="0" collapsed="false">
      <c r="T515" s="62"/>
      <c r="U515" s="35"/>
      <c r="V515" s="13" t="n">
        <v>-0.0388019357377107</v>
      </c>
      <c r="W515" s="13" t="n">
        <v>-0.0483760468566938</v>
      </c>
      <c r="X515" s="13" t="n">
        <f aca="false">PRODUCT(V515:W515)</f>
        <v>0.00187708426137791</v>
      </c>
      <c r="Y515" s="56"/>
      <c r="Z515" s="56"/>
      <c r="AA515" s="56"/>
      <c r="AB515" s="56"/>
      <c r="AC515" s="57"/>
      <c r="AD515" s="56"/>
      <c r="AE515" s="56"/>
      <c r="AF515" s="56"/>
      <c r="AG515" s="56"/>
      <c r="AH515" s="56"/>
      <c r="AI515" s="56"/>
      <c r="AJ515" s="56"/>
    </row>
    <row r="516" customFormat="false" ht="15" hidden="false" customHeight="false" outlineLevel="0" collapsed="false">
      <c r="T516" s="62"/>
      <c r="U516" s="35"/>
      <c r="V516" s="13" t="n">
        <v>-1.68253861430046E-005</v>
      </c>
      <c r="W516" s="13" t="n">
        <v>0.036157954797277</v>
      </c>
      <c r="X516" s="13" t="n">
        <f aca="false">PRODUCT(V516:W516)</f>
        <v>-6.08371551605491E-007</v>
      </c>
      <c r="Y516" s="56"/>
      <c r="Z516" s="56"/>
      <c r="AA516" s="56"/>
      <c r="AB516" s="56"/>
      <c r="AC516" s="57"/>
      <c r="AD516" s="56"/>
      <c r="AE516" s="56"/>
      <c r="AF516" s="56"/>
      <c r="AG516" s="56"/>
      <c r="AH516" s="56"/>
      <c r="AI516" s="56"/>
      <c r="AJ516" s="56"/>
    </row>
    <row r="517" customFormat="false" ht="15" hidden="false" customHeight="false" outlineLevel="0" collapsed="false">
      <c r="T517" s="62"/>
      <c r="U517" s="35"/>
      <c r="V517" s="13" t="n">
        <v>-0.0347440531508463</v>
      </c>
      <c r="W517" s="13" t="n">
        <v>-0.0200172877898392</v>
      </c>
      <c r="X517" s="13" t="n">
        <f aca="false">PRODUCT(V517:W517)</f>
        <v>0.00069548171090596</v>
      </c>
      <c r="Y517" s="56"/>
      <c r="Z517" s="56"/>
      <c r="AA517" s="56"/>
      <c r="AB517" s="56"/>
      <c r="AC517" s="57"/>
      <c r="AD517" s="56"/>
      <c r="AE517" s="56"/>
      <c r="AF517" s="56"/>
      <c r="AG517" s="56"/>
      <c r="AH517" s="56"/>
      <c r="AI517" s="56"/>
      <c r="AJ517" s="56"/>
    </row>
    <row r="518" customFormat="false" ht="15" hidden="false" customHeight="false" outlineLevel="0" collapsed="false">
      <c r="T518" s="62"/>
      <c r="U518" s="35"/>
      <c r="V518" s="13" t="n">
        <v>-0.0164044636239398</v>
      </c>
      <c r="W518" s="13" t="n">
        <v>0.0242544516808572</v>
      </c>
      <c r="X518" s="13" t="n">
        <f aca="false">PRODUCT(V518:W518)</f>
        <v>-0.000397881270317227</v>
      </c>
      <c r="Y518" s="56"/>
      <c r="Z518" s="56"/>
      <c r="AA518" s="56"/>
      <c r="AB518" s="56"/>
      <c r="AC518" s="57"/>
      <c r="AD518" s="56"/>
      <c r="AE518" s="56"/>
      <c r="AF518" s="56"/>
      <c r="AG518" s="56"/>
      <c r="AH518" s="56"/>
      <c r="AI518" s="56"/>
      <c r="AJ518" s="56"/>
    </row>
    <row r="519" customFormat="false" ht="15" hidden="false" customHeight="false" outlineLevel="0" collapsed="false">
      <c r="T519" s="62"/>
      <c r="U519" s="35"/>
      <c r="V519" s="13" t="n">
        <v>-0.0241061899177355</v>
      </c>
      <c r="W519" s="13" t="n">
        <v>-0.0272588963599887</v>
      </c>
      <c r="X519" s="13" t="n">
        <f aca="false">PRODUCT(V519:W519)</f>
        <v>0.000657108132601757</v>
      </c>
      <c r="Y519" s="56"/>
      <c r="Z519" s="56"/>
      <c r="AA519" s="56"/>
      <c r="AB519" s="56"/>
      <c r="AC519" s="57"/>
      <c r="AD519" s="56"/>
      <c r="AE519" s="56"/>
      <c r="AF519" s="56"/>
      <c r="AG519" s="56"/>
      <c r="AH519" s="56"/>
      <c r="AI519" s="56"/>
      <c r="AJ519" s="56"/>
    </row>
    <row r="520" customFormat="false" ht="15" hidden="false" customHeight="false" outlineLevel="0" collapsed="false">
      <c r="T520" s="62"/>
      <c r="U520" s="35"/>
      <c r="V520" s="13" t="n">
        <v>0.0648956002343848</v>
      </c>
      <c r="W520" s="13" t="n">
        <v>0.000859297125646918</v>
      </c>
      <c r="X520" s="13" t="n">
        <f aca="false">PRODUCT(V520:W520)</f>
        <v>5.57646027485383E-005</v>
      </c>
      <c r="Y520" s="56"/>
      <c r="Z520" s="56"/>
      <c r="AA520" s="56"/>
      <c r="AB520" s="56"/>
      <c r="AC520" s="57"/>
      <c r="AD520" s="56"/>
      <c r="AE520" s="56"/>
      <c r="AF520" s="56"/>
      <c r="AG520" s="56"/>
      <c r="AH520" s="56"/>
      <c r="AI520" s="56"/>
      <c r="AJ520" s="56"/>
    </row>
    <row r="521" customFormat="false" ht="15" hidden="false" customHeight="false" outlineLevel="0" collapsed="false">
      <c r="T521" s="62"/>
      <c r="U521" s="63" t="s">
        <v>26</v>
      </c>
      <c r="V521" s="12" t="n">
        <f aca="false" t="array" ref="V521:V541">'Data Gathering and ect'!F201:F221</f>
        <v>0.0264997946811612</v>
      </c>
      <c r="W521" s="12" t="n">
        <f aca="false" t="array" ref="W521:W541">'Data Gathering and ect'!F264:F284</f>
        <v>-0.00118608226195693</v>
      </c>
      <c r="X521" s="12" t="n">
        <f aca="false">PRODUCT(V521:W521)</f>
        <v>-3.14309364168259E-005</v>
      </c>
      <c r="Y521" s="43" t="n">
        <f aca="false">SUM(V521:V541)</f>
        <v>0.0557037353631662</v>
      </c>
      <c r="Z521" s="43" t="n">
        <f aca="false">SUM(W521:W541)</f>
        <v>-0.0920906649431618</v>
      </c>
      <c r="AA521" s="43" t="n">
        <f aca="false">SUM(X521:X541)</f>
        <v>0.00190514205537783</v>
      </c>
      <c r="AB521" s="43" t="n">
        <f aca="false">Y521*Z521</f>
        <v>-0.00512979402941189</v>
      </c>
      <c r="AC521" s="43" t="n">
        <f aca="false">COUNT(V521:V541)</f>
        <v>21</v>
      </c>
      <c r="AD521" s="43" t="n">
        <f aca="false" t="array" ref="AD521:AD521">SUM(POWER(V521:V541,2))</f>
        <v>0.00923370961463981</v>
      </c>
      <c r="AE521" s="43" t="n">
        <f aca="false" t="array" ref="AE521:AE521">SUM(POWER(W521:W541,2))</f>
        <v>0.0052664797019935</v>
      </c>
      <c r="AF521" s="43" t="n">
        <f aca="false">(AA521*AC521)-(AB521)</f>
        <v>0.0451377771923463</v>
      </c>
      <c r="AG521" s="43" t="n">
        <f aca="false">(AC521*AD521)-(POWER(Y521,2))</f>
        <v>0.190804995774026</v>
      </c>
      <c r="AH521" s="43" t="n">
        <f aca="false">(AC521*AE521)-(POWER(Z521,2))</f>
        <v>0.10211538317219</v>
      </c>
      <c r="AI521" s="43" t="n">
        <f aca="false">SQRT(AG521*AH521)</f>
        <v>0.139585548158227</v>
      </c>
      <c r="AJ521" s="43" t="n">
        <f aca="false">AF521 / AI521</f>
        <v>0.323369989142289</v>
      </c>
    </row>
    <row r="522" customFormat="false" ht="15" hidden="false" customHeight="false" outlineLevel="0" collapsed="false">
      <c r="T522" s="62"/>
      <c r="U522" s="63"/>
      <c r="V522" s="12" t="n">
        <v>0.0482845070700524</v>
      </c>
      <c r="W522" s="12" t="n">
        <v>-0.0070748304198176</v>
      </c>
      <c r="X522" s="12" t="n">
        <f aca="false">PRODUCT(V522:W522)</f>
        <v>-0.000341604699425105</v>
      </c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</row>
    <row r="523" customFormat="false" ht="15" hidden="false" customHeight="false" outlineLevel="0" collapsed="false">
      <c r="T523" s="62"/>
      <c r="U523" s="63"/>
      <c r="V523" s="12" t="n">
        <v>-0.0154548311049831</v>
      </c>
      <c r="W523" s="12" t="n">
        <v>-0.0178849923137285</v>
      </c>
      <c r="X523" s="12" t="n">
        <f aca="false">PRODUCT(V523:W523)</f>
        <v>0.000276409535522595</v>
      </c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</row>
    <row r="524" customFormat="false" ht="15" hidden="false" customHeight="false" outlineLevel="0" collapsed="false">
      <c r="T524" s="62"/>
      <c r="U524" s="63"/>
      <c r="V524" s="12" t="n">
        <v>0.00695980318127987</v>
      </c>
      <c r="W524" s="12" t="n">
        <v>-0.0237559486668291</v>
      </c>
      <c r="X524" s="12" t="n">
        <f aca="false">PRODUCT(V524:W524)</f>
        <v>-0.000165336727105718</v>
      </c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</row>
    <row r="525" customFormat="false" ht="15" hidden="false" customHeight="false" outlineLevel="0" collapsed="false">
      <c r="T525" s="62"/>
      <c r="U525" s="63"/>
      <c r="V525" s="12" t="n">
        <v>-0.00527876259449478</v>
      </c>
      <c r="W525" s="12" t="n">
        <v>-0.0134366753469051</v>
      </c>
      <c r="X525" s="12" t="n">
        <f aca="false">PRODUCT(V525:W525)</f>
        <v>7.09290192156128E-005</v>
      </c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</row>
    <row r="526" customFormat="false" ht="15" hidden="false" customHeight="false" outlineLevel="0" collapsed="false">
      <c r="T526" s="62"/>
      <c r="U526" s="63"/>
      <c r="V526" s="12" t="n">
        <v>-0.0398357218478322</v>
      </c>
      <c r="W526" s="12" t="n">
        <v>-0.0143906496789743</v>
      </c>
      <c r="X526" s="12" t="n">
        <f aca="false">PRODUCT(V526:W526)</f>
        <v>0.000573261917821216</v>
      </c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</row>
    <row r="527" customFormat="false" ht="15" hidden="false" customHeight="false" outlineLevel="0" collapsed="false">
      <c r="T527" s="62"/>
      <c r="U527" s="63"/>
      <c r="V527" s="12" t="n">
        <v>0.0265265483567836</v>
      </c>
      <c r="W527" s="12" t="n">
        <v>0.0133219645627412</v>
      </c>
      <c r="X527" s="12" t="n">
        <f aca="false">PRODUCT(V527:W527)</f>
        <v>0.000353385737180912</v>
      </c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</row>
    <row r="528" customFormat="false" ht="15" hidden="false" customHeight="false" outlineLevel="0" collapsed="false">
      <c r="T528" s="62"/>
      <c r="U528" s="63"/>
      <c r="V528" s="12" t="n">
        <v>0.00336575555414598</v>
      </c>
      <c r="W528" s="12" t="n">
        <v>0.0210734575536815</v>
      </c>
      <c r="X528" s="12" t="n">
        <f aca="false">PRODUCT(V528:W528)</f>
        <v>7.09281068063631E-005</v>
      </c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</row>
    <row r="529" customFormat="false" ht="15" hidden="false" customHeight="false" outlineLevel="0" collapsed="false">
      <c r="T529" s="62"/>
      <c r="U529" s="63"/>
      <c r="V529" s="12" t="n">
        <v>-0.0160060600042264</v>
      </c>
      <c r="W529" s="12" t="n">
        <v>-0.0178708223779953</v>
      </c>
      <c r="X529" s="12" t="n">
        <f aca="false">PRODUCT(V529:W529)</f>
        <v>0.000286041455307065</v>
      </c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</row>
    <row r="530" customFormat="false" ht="15" hidden="false" customHeight="false" outlineLevel="0" collapsed="false">
      <c r="T530" s="62"/>
      <c r="U530" s="63"/>
      <c r="V530" s="12" t="n">
        <v>0.0156459847118668</v>
      </c>
      <c r="W530" s="12" t="n">
        <v>0.0177845984914615</v>
      </c>
      <c r="X530" s="12" t="n">
        <f aca="false">PRODUCT(V530:W530)</f>
        <v>0.000278257556104096</v>
      </c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</row>
    <row r="531" customFormat="false" ht="15" hidden="false" customHeight="false" outlineLevel="0" collapsed="false">
      <c r="T531" s="62"/>
      <c r="U531" s="63"/>
      <c r="V531" s="12" t="n">
        <v>-0.0254434591703268</v>
      </c>
      <c r="W531" s="12" t="n">
        <v>-0.0216478748906477</v>
      </c>
      <c r="X531" s="12" t="n">
        <f aca="false">PRODUCT(V531:W531)</f>
        <v>0.000550796820904538</v>
      </c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</row>
    <row r="532" customFormat="false" ht="15" hidden="false" customHeight="false" outlineLevel="0" collapsed="false">
      <c r="T532" s="62"/>
      <c r="U532" s="63"/>
      <c r="V532" s="12" t="n">
        <v>0.00945376707201984</v>
      </c>
      <c r="W532" s="12" t="n">
        <v>-0.0286147853389247</v>
      </c>
      <c r="X532" s="12" t="n">
        <f aca="false">PRODUCT(V532:W532)</f>
        <v>-0.000270517515410042</v>
      </c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</row>
    <row r="533" customFormat="false" ht="15" hidden="false" customHeight="false" outlineLevel="0" collapsed="false">
      <c r="T533" s="62"/>
      <c r="U533" s="63"/>
      <c r="V533" s="12" t="n">
        <v>0.00113046333323208</v>
      </c>
      <c r="W533" s="12" t="n">
        <v>-0.0218560027953805</v>
      </c>
      <c r="X533" s="12" t="n">
        <f aca="false">PRODUCT(V533:W533)</f>
        <v>-2.47074097711955E-005</v>
      </c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</row>
    <row r="534" customFormat="false" ht="15" hidden="false" customHeight="false" outlineLevel="0" collapsed="false">
      <c r="T534" s="62"/>
      <c r="U534" s="63"/>
      <c r="V534" s="12" t="n">
        <v>0.0085917435067806</v>
      </c>
      <c r="W534" s="12" t="n">
        <v>0.0103262073457326</v>
      </c>
      <c r="X534" s="12" t="n">
        <f aca="false">PRODUCT(V534:W534)</f>
        <v>8.87201249123682E-005</v>
      </c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</row>
    <row r="535" customFormat="false" ht="15" hidden="false" customHeight="false" outlineLevel="0" collapsed="false">
      <c r="T535" s="62"/>
      <c r="U535" s="63"/>
      <c r="V535" s="12" t="n">
        <v>0.0109709681855401</v>
      </c>
      <c r="W535" s="12" t="n">
        <v>0.00257151131212385</v>
      </c>
      <c r="X535" s="12" t="n">
        <f aca="false">PRODUCT(V535:W535)</f>
        <v>2.82119687940672E-005</v>
      </c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</row>
    <row r="536" customFormat="false" ht="15" hidden="false" customHeight="false" outlineLevel="0" collapsed="false">
      <c r="T536" s="62"/>
      <c r="U536" s="63"/>
      <c r="V536" s="12" t="n">
        <v>0.0191127508116731</v>
      </c>
      <c r="W536" s="12" t="n">
        <v>0.000836114988385539</v>
      </c>
      <c r="X536" s="12" t="n">
        <f aca="false">PRODUCT(V536:W536)</f>
        <v>1.59804574229178E-005</v>
      </c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</row>
    <row r="537" customFormat="false" ht="15" hidden="false" customHeight="false" outlineLevel="0" collapsed="false">
      <c r="T537" s="62"/>
      <c r="U537" s="63"/>
      <c r="V537" s="12" t="n">
        <v>0.0219286346064775</v>
      </c>
      <c r="W537" s="12" t="n">
        <v>-0.0121397545506108</v>
      </c>
      <c r="X537" s="12" t="n">
        <f aca="false">PRODUCT(V537:W537)</f>
        <v>-0.000266208241752667</v>
      </c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</row>
    <row r="538" customFormat="false" ht="15" hidden="false" customHeight="false" outlineLevel="0" collapsed="false">
      <c r="T538" s="62"/>
      <c r="U538" s="63"/>
      <c r="V538" s="12" t="n">
        <v>0.0146698101838458</v>
      </c>
      <c r="W538" s="12" t="n">
        <v>0.025391167046199</v>
      </c>
      <c r="X538" s="12" t="n">
        <f aca="false">PRODUCT(V538:W538)</f>
        <v>0.00037248360091406</v>
      </c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</row>
    <row r="539" customFormat="false" ht="15" hidden="false" customHeight="false" outlineLevel="0" collapsed="false">
      <c r="T539" s="62"/>
      <c r="U539" s="63"/>
      <c r="V539" s="12" t="n">
        <v>-0.013393519068357</v>
      </c>
      <c r="W539" s="12" t="n">
        <v>-0.00289730895093854</v>
      </c>
      <c r="X539" s="12" t="n">
        <f aca="false">PRODUCT(V539:W539)</f>
        <v>3.88051626813168E-005</v>
      </c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</row>
    <row r="540" customFormat="false" ht="15" hidden="false" customHeight="false" outlineLevel="0" collapsed="false">
      <c r="T540" s="62"/>
      <c r="U540" s="63"/>
      <c r="V540" s="12" t="n">
        <v>-0.0246232446655386</v>
      </c>
      <c r="W540" s="12" t="n">
        <v>0.00144002452907444</v>
      </c>
      <c r="X540" s="12" t="n">
        <f aca="false">PRODUCT(V540:W540)</f>
        <v>-3.54580763037769E-005</v>
      </c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</row>
    <row r="541" customFormat="false" ht="15" hidden="false" customHeight="false" outlineLevel="0" collapsed="false">
      <c r="T541" s="62"/>
      <c r="U541" s="63"/>
      <c r="V541" s="12" t="n">
        <v>-0.0174011974359338</v>
      </c>
      <c r="W541" s="12" t="n">
        <v>-0.00207998317985236</v>
      </c>
      <c r="X541" s="12" t="n">
        <f aca="false">PRODUCT(V541:W541)</f>
        <v>3.61941979760323E-005</v>
      </c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</row>
    <row r="542" customFormat="false" ht="15" hidden="false" customHeight="false" outlineLevel="0" collapsed="false">
      <c r="T542" s="62"/>
      <c r="U542" s="63"/>
      <c r="V542" s="13" t="n">
        <f aca="false" t="array" ref="V542:V567">'Data Gathering and ect'!F222:F247</f>
        <v>0.0176572834822446</v>
      </c>
      <c r="W542" s="13" t="n">
        <f aca="false" t="array" ref="W542:W567">'Data Gathering and ect'!F285:F310</f>
        <v>-0.0309496997724894</v>
      </c>
      <c r="X542" s="13" t="n">
        <f aca="false">PRODUCT(V542:W542)</f>
        <v>-0.000546487622573207</v>
      </c>
      <c r="Y542" s="64" t="n">
        <f aca="false">SUM(V542:V567)</f>
        <v>-0.44826742573188</v>
      </c>
      <c r="Z542" s="64" t="n">
        <f aca="false">SUM(W542:W567)</f>
        <v>-0.12670417074293</v>
      </c>
      <c r="AA542" s="64" t="n">
        <f aca="false">SUM(X542:X567)</f>
        <v>0.0609701713298818</v>
      </c>
      <c r="AB542" s="64" t="n">
        <f aca="false">Y542*Z542</f>
        <v>0.0567973524484258</v>
      </c>
      <c r="AC542" s="65" t="n">
        <f aca="false">COUNT(V542:V567)</f>
        <v>26</v>
      </c>
      <c r="AD542" s="64" t="n">
        <f aca="false" t="array" ref="AD542:AD542">SUM(POWER(V542:V567,2))</f>
        <v>0.0815875416697642</v>
      </c>
      <c r="AE542" s="64" t="n">
        <f aca="false" t="array" ref="AE542:AE542">SUM(POWER(W542:W567,2))</f>
        <v>0.0672744582728849</v>
      </c>
      <c r="AF542" s="64" t="n">
        <f aca="false">(AA542*AC542)-(AB542)</f>
        <v>1.5284271021285</v>
      </c>
      <c r="AG542" s="64" t="n">
        <f aca="false">(AC542*AD542)-(POWER(Y542,2))</f>
        <v>1.92033239844158</v>
      </c>
      <c r="AH542" s="64" t="n">
        <f aca="false">(AC542*AE542)-(POWER(Z542,2))</f>
        <v>1.73308196821135</v>
      </c>
      <c r="AI542" s="64" t="n">
        <f aca="false">SQRT(AG542*AH542)</f>
        <v>1.82430629355686</v>
      </c>
      <c r="AJ542" s="64" t="n">
        <f aca="false">AF542 / AI542</f>
        <v>0.837812766160292</v>
      </c>
    </row>
    <row r="543" customFormat="false" ht="15" hidden="false" customHeight="false" outlineLevel="0" collapsed="false">
      <c r="T543" s="62"/>
      <c r="U543" s="63"/>
      <c r="V543" s="13" t="n">
        <v>0.0151202791694018</v>
      </c>
      <c r="W543" s="13" t="n">
        <v>0.0170873116037891</v>
      </c>
      <c r="X543" s="13" t="n">
        <f aca="false">PRODUCT(V543:W543)</f>
        <v>0.00025836492170385</v>
      </c>
      <c r="Y543" s="64"/>
      <c r="Z543" s="64"/>
      <c r="AA543" s="64"/>
      <c r="AB543" s="64"/>
      <c r="AC543" s="65"/>
      <c r="AD543" s="64"/>
      <c r="AE543" s="64"/>
      <c r="AF543" s="64"/>
      <c r="AG543" s="64"/>
      <c r="AH543" s="64"/>
      <c r="AI543" s="64"/>
      <c r="AJ543" s="64"/>
    </row>
    <row r="544" customFormat="false" ht="15" hidden="false" customHeight="false" outlineLevel="0" collapsed="false">
      <c r="T544" s="62"/>
      <c r="U544" s="63"/>
      <c r="V544" s="13" t="n">
        <v>-0.0320394270617079</v>
      </c>
      <c r="W544" s="13" t="n">
        <v>0.00532937018097535</v>
      </c>
      <c r="X544" s="13" t="n">
        <f aca="false">PRODUCT(V544:W544)</f>
        <v>-0.000170749967198201</v>
      </c>
      <c r="Y544" s="64"/>
      <c r="Z544" s="64"/>
      <c r="AA544" s="64"/>
      <c r="AB544" s="64"/>
      <c r="AC544" s="65"/>
      <c r="AD544" s="64"/>
      <c r="AE544" s="64"/>
      <c r="AF544" s="64"/>
      <c r="AG544" s="64"/>
      <c r="AH544" s="64"/>
      <c r="AI544" s="64"/>
      <c r="AJ544" s="64"/>
    </row>
    <row r="545" customFormat="false" ht="15" hidden="false" customHeight="false" outlineLevel="0" collapsed="false">
      <c r="T545" s="62"/>
      <c r="U545" s="63"/>
      <c r="V545" s="13" t="n">
        <v>0.0110554404973255</v>
      </c>
      <c r="W545" s="13" t="n">
        <v>-0.00146193131466177</v>
      </c>
      <c r="X545" s="13" t="n">
        <f aca="false">PRODUCT(V545:W545)</f>
        <v>-1.616229466042E-005</v>
      </c>
      <c r="Y545" s="64"/>
      <c r="Z545" s="64"/>
      <c r="AA545" s="64"/>
      <c r="AB545" s="64"/>
      <c r="AC545" s="65"/>
      <c r="AD545" s="64"/>
      <c r="AE545" s="64"/>
      <c r="AF545" s="64"/>
      <c r="AG545" s="64"/>
      <c r="AH545" s="64"/>
      <c r="AI545" s="64"/>
      <c r="AJ545" s="64"/>
    </row>
    <row r="546" customFormat="false" ht="15" hidden="false" customHeight="false" outlineLevel="0" collapsed="false">
      <c r="T546" s="62"/>
      <c r="U546" s="63"/>
      <c r="V546" s="13" t="n">
        <v>-0.0103395354434825</v>
      </c>
      <c r="W546" s="13" t="n">
        <v>0.0105056563841943</v>
      </c>
      <c r="X546" s="13" t="n">
        <f aca="false">PRODUCT(V546:W546)</f>
        <v>-0.000108623606541425</v>
      </c>
      <c r="Y546" s="64"/>
      <c r="Z546" s="64"/>
      <c r="AA546" s="64"/>
      <c r="AB546" s="64"/>
      <c r="AC546" s="65"/>
      <c r="AD546" s="64"/>
      <c r="AE546" s="64"/>
      <c r="AF546" s="64"/>
      <c r="AG546" s="64"/>
      <c r="AH546" s="64"/>
      <c r="AI546" s="64"/>
      <c r="AJ546" s="64"/>
    </row>
    <row r="547" customFormat="false" ht="15" hidden="false" customHeight="false" outlineLevel="0" collapsed="false">
      <c r="T547" s="62"/>
      <c r="U547" s="63"/>
      <c r="V547" s="13" t="n">
        <v>-0.00923753845455</v>
      </c>
      <c r="W547" s="13" t="n">
        <v>0.005407805169094</v>
      </c>
      <c r="X547" s="13" t="n">
        <f aca="false">PRODUCT(V547:W547)</f>
        <v>-4.99548082042201E-005</v>
      </c>
      <c r="Y547" s="64"/>
      <c r="Z547" s="64"/>
      <c r="AA547" s="64"/>
      <c r="AB547" s="64"/>
      <c r="AC547" s="65"/>
      <c r="AD547" s="64"/>
      <c r="AE547" s="64"/>
      <c r="AF547" s="64"/>
      <c r="AG547" s="64"/>
      <c r="AH547" s="64"/>
      <c r="AI547" s="64"/>
      <c r="AJ547" s="64"/>
    </row>
    <row r="548" customFormat="false" ht="15" hidden="false" customHeight="false" outlineLevel="0" collapsed="false">
      <c r="T548" s="62"/>
      <c r="U548" s="63"/>
      <c r="V548" s="13" t="n">
        <v>0.0105541158690246</v>
      </c>
      <c r="W548" s="13" t="n">
        <v>0.00535953688294111</v>
      </c>
      <c r="X548" s="13" t="n">
        <f aca="false">PRODUCT(V548:W548)</f>
        <v>5.65651732668714E-005</v>
      </c>
      <c r="Y548" s="64"/>
      <c r="Z548" s="64"/>
      <c r="AA548" s="64"/>
      <c r="AB548" s="64"/>
      <c r="AC548" s="65"/>
      <c r="AD548" s="64"/>
      <c r="AE548" s="64"/>
      <c r="AF548" s="64"/>
      <c r="AG548" s="64"/>
      <c r="AH548" s="64"/>
      <c r="AI548" s="64"/>
      <c r="AJ548" s="64"/>
    </row>
    <row r="549" customFormat="false" ht="15" hidden="false" customHeight="false" outlineLevel="0" collapsed="false">
      <c r="T549" s="62"/>
      <c r="U549" s="63"/>
      <c r="V549" s="13" t="n">
        <v>-0.0199827280870473</v>
      </c>
      <c r="W549" s="13" t="n">
        <v>-0.0124556083581471</v>
      </c>
      <c r="X549" s="13" t="n">
        <f aca="false">PRODUCT(V549:W549)</f>
        <v>0.000248897034979607</v>
      </c>
      <c r="Y549" s="64"/>
      <c r="Z549" s="64"/>
      <c r="AA549" s="64"/>
      <c r="AB549" s="64"/>
      <c r="AC549" s="65"/>
      <c r="AD549" s="64"/>
      <c r="AE549" s="64"/>
      <c r="AF549" s="64"/>
      <c r="AG549" s="64"/>
      <c r="AH549" s="64"/>
      <c r="AI549" s="64"/>
      <c r="AJ549" s="64"/>
    </row>
    <row r="550" customFormat="false" ht="15" hidden="false" customHeight="false" outlineLevel="0" collapsed="false">
      <c r="T550" s="62"/>
      <c r="U550" s="63"/>
      <c r="V550" s="13" t="n">
        <v>-0.0483447743265382</v>
      </c>
      <c r="W550" s="13" t="n">
        <v>-0.046037362921882</v>
      </c>
      <c r="X550" s="13" t="n">
        <f aca="false">PRODUCT(V550:W550)</f>
        <v>0.00222566592104732</v>
      </c>
      <c r="Y550" s="64"/>
      <c r="Z550" s="64"/>
      <c r="AA550" s="64"/>
      <c r="AB550" s="64"/>
      <c r="AC550" s="65"/>
      <c r="AD550" s="64"/>
      <c r="AE550" s="64"/>
      <c r="AF550" s="64"/>
      <c r="AG550" s="64"/>
      <c r="AH550" s="64"/>
      <c r="AI550" s="64"/>
      <c r="AJ550" s="64"/>
    </row>
    <row r="551" customFormat="false" ht="15" hidden="false" customHeight="false" outlineLevel="0" collapsed="false">
      <c r="T551" s="62"/>
      <c r="U551" s="63"/>
      <c r="V551" s="13" t="n">
        <v>0.037637903122504</v>
      </c>
      <c r="W551" s="13" t="n">
        <v>0.0186101548656223</v>
      </c>
      <c r="X551" s="13" t="n">
        <f aca="false">PRODUCT(V551:W551)</f>
        <v>0.000700447205927089</v>
      </c>
      <c r="Y551" s="64"/>
      <c r="Z551" s="64"/>
      <c r="AA551" s="64"/>
      <c r="AB551" s="64"/>
      <c r="AC551" s="65"/>
      <c r="AD551" s="64"/>
      <c r="AE551" s="64"/>
      <c r="AF551" s="64"/>
      <c r="AG551" s="64"/>
      <c r="AH551" s="64"/>
      <c r="AI551" s="64"/>
      <c r="AJ551" s="64"/>
    </row>
    <row r="552" customFormat="false" ht="15" hidden="false" customHeight="false" outlineLevel="0" collapsed="false">
      <c r="T552" s="62"/>
      <c r="U552" s="63"/>
      <c r="V552" s="13" t="n">
        <v>-0.0295428902699211</v>
      </c>
      <c r="W552" s="13" t="n">
        <v>-0.0425251881278683</v>
      </c>
      <c r="X552" s="13" t="n">
        <f aca="false">PRODUCT(V552:W552)</f>
        <v>0.00125631696656936</v>
      </c>
      <c r="Y552" s="64"/>
      <c r="Z552" s="64"/>
      <c r="AA552" s="64"/>
      <c r="AB552" s="64"/>
      <c r="AC552" s="65"/>
      <c r="AD552" s="64"/>
      <c r="AE552" s="64"/>
      <c r="AF552" s="64"/>
      <c r="AG552" s="64"/>
      <c r="AH552" s="64"/>
      <c r="AI552" s="64"/>
      <c r="AJ552" s="64"/>
    </row>
    <row r="553" customFormat="false" ht="15" hidden="false" customHeight="false" outlineLevel="0" collapsed="false">
      <c r="T553" s="62"/>
      <c r="U553" s="63"/>
      <c r="V553" s="13" t="n">
        <v>-1.72519386865133E-005</v>
      </c>
      <c r="W553" s="13" t="n">
        <v>0.00312639980696439</v>
      </c>
      <c r="X553" s="13" t="n">
        <f aca="false">PRODUCT(V553:W553)</f>
        <v>-5.39364577792767E-008</v>
      </c>
      <c r="Y553" s="64"/>
      <c r="Z553" s="64"/>
      <c r="AA553" s="64"/>
      <c r="AB553" s="64"/>
      <c r="AC553" s="65"/>
      <c r="AD553" s="64"/>
      <c r="AE553" s="64"/>
      <c r="AF553" s="64"/>
      <c r="AG553" s="64"/>
      <c r="AH553" s="64"/>
      <c r="AI553" s="64"/>
      <c r="AJ553" s="64"/>
    </row>
    <row r="554" customFormat="false" ht="15" hidden="false" customHeight="false" outlineLevel="0" collapsed="false">
      <c r="T554" s="62"/>
      <c r="U554" s="63"/>
      <c r="V554" s="13" t="n">
        <v>-0.079523842008574</v>
      </c>
      <c r="W554" s="13" t="n">
        <v>-0.0668515324706265</v>
      </c>
      <c r="X554" s="13" t="n">
        <f aca="false">PRODUCT(V554:W554)</f>
        <v>0.00531629070622516</v>
      </c>
      <c r="Y554" s="64"/>
      <c r="Z554" s="64"/>
      <c r="AA554" s="64"/>
      <c r="AB554" s="64"/>
      <c r="AC554" s="65"/>
      <c r="AD554" s="64"/>
      <c r="AE554" s="64"/>
      <c r="AF554" s="64"/>
      <c r="AG554" s="64"/>
      <c r="AH554" s="64"/>
      <c r="AI554" s="64"/>
      <c r="AJ554" s="64"/>
    </row>
    <row r="555" customFormat="false" ht="15" hidden="false" customHeight="false" outlineLevel="0" collapsed="false">
      <c r="T555" s="62"/>
      <c r="U555" s="63"/>
      <c r="V555" s="13" t="n">
        <v>-0.0060957899347045</v>
      </c>
      <c r="W555" s="13" t="n">
        <v>-0.015541417689751</v>
      </c>
      <c r="X555" s="13" t="n">
        <f aca="false">PRODUCT(V555:W555)</f>
        <v>9.47372175242226E-005</v>
      </c>
      <c r="Y555" s="64"/>
      <c r="Z555" s="64"/>
      <c r="AA555" s="64"/>
      <c r="AB555" s="64"/>
      <c r="AC555" s="65"/>
      <c r="AD555" s="64"/>
      <c r="AE555" s="64"/>
      <c r="AF555" s="64"/>
      <c r="AG555" s="64"/>
      <c r="AH555" s="64"/>
      <c r="AI555" s="64"/>
      <c r="AJ555" s="64"/>
    </row>
    <row r="556" customFormat="false" ht="15" hidden="false" customHeight="false" outlineLevel="0" collapsed="false">
      <c r="T556" s="62"/>
      <c r="U556" s="63"/>
      <c r="V556" s="13" t="n">
        <v>-0.12004874547498</v>
      </c>
      <c r="W556" s="13" t="n">
        <v>-0.113641990653887</v>
      </c>
      <c r="X556" s="13" t="n">
        <f aca="false">PRODUCT(V556:W556)</f>
        <v>0.0136425784112785</v>
      </c>
      <c r="Y556" s="64"/>
      <c r="Z556" s="64"/>
      <c r="AA556" s="64"/>
      <c r="AB556" s="64"/>
      <c r="AC556" s="65"/>
      <c r="AD556" s="64"/>
      <c r="AE556" s="64"/>
      <c r="AF556" s="64"/>
      <c r="AG556" s="64"/>
      <c r="AH556" s="64"/>
      <c r="AI556" s="64"/>
      <c r="AJ556" s="64"/>
    </row>
    <row r="557" customFormat="false" ht="15" hidden="false" customHeight="false" outlineLevel="0" collapsed="false">
      <c r="T557" s="62"/>
      <c r="U557" s="63"/>
      <c r="V557" s="13" t="n">
        <v>-0.195999862630521</v>
      </c>
      <c r="W557" s="13" t="n">
        <v>-0.134926521936364</v>
      </c>
      <c r="X557" s="13" t="n">
        <f aca="false">PRODUCT(V557:W557)</f>
        <v>0.0264455797647413</v>
      </c>
      <c r="Y557" s="64"/>
      <c r="Z557" s="64"/>
      <c r="AA557" s="64"/>
      <c r="AB557" s="64"/>
      <c r="AC557" s="65"/>
      <c r="AD557" s="64"/>
      <c r="AE557" s="64"/>
      <c r="AF557" s="64"/>
      <c r="AG557" s="64"/>
      <c r="AH557" s="64"/>
      <c r="AI557" s="64"/>
      <c r="AJ557" s="64"/>
    </row>
    <row r="558" customFormat="false" ht="15" hidden="false" customHeight="false" outlineLevel="0" collapsed="false">
      <c r="T558" s="62"/>
      <c r="U558" s="63"/>
      <c r="V558" s="13" t="n">
        <v>0.0450228706798628</v>
      </c>
      <c r="W558" s="13" t="n">
        <v>0.126181836462973</v>
      </c>
      <c r="X558" s="13" t="n">
        <f aca="false">PRODUCT(V558:W558)</f>
        <v>0.00568106850522003</v>
      </c>
      <c r="Y558" s="64"/>
      <c r="Z558" s="64"/>
      <c r="AA558" s="64"/>
      <c r="AB558" s="64"/>
      <c r="AC558" s="65"/>
      <c r="AD558" s="64"/>
      <c r="AE558" s="64"/>
      <c r="AF558" s="64"/>
      <c r="AG558" s="64"/>
      <c r="AH558" s="64"/>
      <c r="AI558" s="64"/>
      <c r="AJ558" s="64"/>
    </row>
    <row r="559" customFormat="false" ht="15" hidden="false" customHeight="false" outlineLevel="0" collapsed="false">
      <c r="T559" s="62"/>
      <c r="U559" s="63"/>
      <c r="V559" s="13" t="n">
        <v>-0.0279061531087432</v>
      </c>
      <c r="W559" s="13" t="n">
        <v>0.00983031114018562</v>
      </c>
      <c r="X559" s="13" t="n">
        <f aca="false">PRODUCT(V559:W559)</f>
        <v>-0.000274326167784604</v>
      </c>
      <c r="Y559" s="64"/>
      <c r="Z559" s="64"/>
      <c r="AA559" s="64"/>
      <c r="AB559" s="64"/>
      <c r="AC559" s="65"/>
      <c r="AD559" s="64"/>
      <c r="AE559" s="64"/>
      <c r="AF559" s="64"/>
      <c r="AG559" s="64"/>
      <c r="AH559" s="64"/>
      <c r="AI559" s="64"/>
      <c r="AJ559" s="64"/>
    </row>
    <row r="560" customFormat="false" ht="15" hidden="false" customHeight="false" outlineLevel="0" collapsed="false">
      <c r="T560" s="62"/>
      <c r="U560" s="63"/>
      <c r="V560" s="13" t="n">
        <v>-0.0225625187302567</v>
      </c>
      <c r="W560" s="13" t="n">
        <v>0.02765673092855</v>
      </c>
      <c r="X560" s="13" t="n">
        <f aca="false">PRODUCT(V560:W560)</f>
        <v>-0.000624005509593079</v>
      </c>
      <c r="Y560" s="64"/>
      <c r="Z560" s="64"/>
      <c r="AA560" s="64"/>
      <c r="AB560" s="64"/>
      <c r="AC560" s="65"/>
      <c r="AD560" s="64"/>
      <c r="AE560" s="64"/>
      <c r="AF560" s="64"/>
      <c r="AG560" s="64"/>
      <c r="AH560" s="64"/>
      <c r="AI560" s="64"/>
      <c r="AJ560" s="64"/>
    </row>
    <row r="561" customFormat="false" ht="15" hidden="false" customHeight="false" outlineLevel="0" collapsed="false">
      <c r="T561" s="62"/>
      <c r="U561" s="63"/>
      <c r="V561" s="13" t="n">
        <v>0.0655036064994601</v>
      </c>
      <c r="W561" s="13" t="n">
        <v>0.0577018945838441</v>
      </c>
      <c r="X561" s="13" t="n">
        <f aca="false">PRODUCT(V561:W561)</f>
        <v>0.00377968219709345</v>
      </c>
      <c r="Y561" s="64"/>
      <c r="Z561" s="64"/>
      <c r="AA561" s="64"/>
      <c r="AB561" s="64"/>
      <c r="AC561" s="65"/>
      <c r="AD561" s="64"/>
      <c r="AE561" s="64"/>
      <c r="AF561" s="64"/>
      <c r="AG561" s="64"/>
      <c r="AH561" s="64"/>
      <c r="AI561" s="64"/>
      <c r="AJ561" s="64"/>
    </row>
    <row r="562" customFormat="false" ht="15" hidden="false" customHeight="false" outlineLevel="0" collapsed="false">
      <c r="T562" s="62"/>
      <c r="U562" s="63"/>
      <c r="V562" s="13" t="n">
        <v>-0.0388019357377107</v>
      </c>
      <c r="W562" s="13" t="n">
        <v>0.00441549451502432</v>
      </c>
      <c r="X562" s="13" t="n">
        <f aca="false">PRODUCT(V562:W562)</f>
        <v>-0.000171329734422188</v>
      </c>
      <c r="Y562" s="64"/>
      <c r="Z562" s="64"/>
      <c r="AA562" s="64"/>
      <c r="AB562" s="64"/>
      <c r="AC562" s="65"/>
      <c r="AD562" s="64"/>
      <c r="AE562" s="64"/>
      <c r="AF562" s="64"/>
      <c r="AG562" s="64"/>
      <c r="AH562" s="64"/>
      <c r="AI562" s="64"/>
      <c r="AJ562" s="64"/>
    </row>
    <row r="563" customFormat="false" ht="15" hidden="false" customHeight="false" outlineLevel="0" collapsed="false">
      <c r="T563" s="62"/>
      <c r="U563" s="63"/>
      <c r="V563" s="13" t="n">
        <v>-1.68253861430046E-005</v>
      </c>
      <c r="W563" s="13" t="n">
        <v>0.0547925509417428</v>
      </c>
      <c r="X563" s="13" t="n">
        <f aca="false">PRODUCT(V563:W563)</f>
        <v>-9.21905827355073E-007</v>
      </c>
      <c r="Y563" s="64"/>
      <c r="Z563" s="64"/>
      <c r="AA563" s="64"/>
      <c r="AB563" s="64"/>
      <c r="AC563" s="65"/>
      <c r="AD563" s="64"/>
      <c r="AE563" s="64"/>
      <c r="AF563" s="64"/>
      <c r="AG563" s="64"/>
      <c r="AH563" s="64"/>
      <c r="AI563" s="64"/>
      <c r="AJ563" s="64"/>
    </row>
    <row r="564" customFormat="false" ht="15" hidden="false" customHeight="false" outlineLevel="0" collapsed="false">
      <c r="T564" s="62"/>
      <c r="U564" s="63"/>
      <c r="V564" s="13" t="n">
        <v>-0.0347440531508463</v>
      </c>
      <c r="W564" s="13" t="n">
        <v>-0.0379351995026553</v>
      </c>
      <c r="X564" s="13" t="n">
        <f aca="false">PRODUCT(V564:W564)</f>
        <v>0.00131802258780821</v>
      </c>
      <c r="Y564" s="64"/>
      <c r="Z564" s="64"/>
      <c r="AA564" s="64"/>
      <c r="AB564" s="64"/>
      <c r="AC564" s="65"/>
      <c r="AD564" s="64"/>
      <c r="AE564" s="64"/>
      <c r="AF564" s="64"/>
      <c r="AG564" s="64"/>
      <c r="AH564" s="64"/>
      <c r="AI564" s="64"/>
      <c r="AJ564" s="64"/>
    </row>
    <row r="565" customFormat="false" ht="15" hidden="false" customHeight="false" outlineLevel="0" collapsed="false">
      <c r="T565" s="62"/>
      <c r="U565" s="63"/>
      <c r="V565" s="13" t="n">
        <v>-0.0164044636239398</v>
      </c>
      <c r="W565" s="13" t="n">
        <v>-0.00655362034947515</v>
      </c>
      <c r="X565" s="13" t="n">
        <f aca="false">PRODUCT(V565:W565)</f>
        <v>0.000107508626628077</v>
      </c>
      <c r="Y565" s="64"/>
      <c r="Z565" s="64"/>
      <c r="AA565" s="64"/>
      <c r="AB565" s="64"/>
      <c r="AC565" s="65"/>
      <c r="AD565" s="64"/>
      <c r="AE565" s="64"/>
      <c r="AF565" s="64"/>
      <c r="AG565" s="64"/>
      <c r="AH565" s="64"/>
      <c r="AI565" s="64"/>
      <c r="AJ565" s="64"/>
    </row>
    <row r="566" customFormat="false" ht="15" hidden="false" customHeight="false" outlineLevel="0" collapsed="false">
      <c r="T566" s="62"/>
      <c r="U566" s="63"/>
      <c r="V566" s="13" t="n">
        <v>-0.0241061899177355</v>
      </c>
      <c r="W566" s="13" t="n">
        <v>0.00613771145021413</v>
      </c>
      <c r="X566" s="13" t="n">
        <f aca="false">PRODUCT(V566:W566)</f>
        <v>-0.000147956837879122</v>
      </c>
      <c r="Y566" s="64"/>
      <c r="Z566" s="64"/>
      <c r="AA566" s="64"/>
      <c r="AB566" s="64"/>
      <c r="AC566" s="65"/>
      <c r="AD566" s="64"/>
      <c r="AE566" s="64"/>
      <c r="AF566" s="64"/>
      <c r="AG566" s="64"/>
      <c r="AH566" s="64"/>
      <c r="AI566" s="64"/>
      <c r="AJ566" s="64"/>
    </row>
    <row r="567" customFormat="false" ht="15" hidden="false" customHeight="false" outlineLevel="0" collapsed="false">
      <c r="T567" s="62"/>
      <c r="U567" s="63"/>
      <c r="V567" s="17" t="n">
        <v>0.0648956002343848</v>
      </c>
      <c r="W567" s="17" t="n">
        <v>0.030033137438763</v>
      </c>
      <c r="X567" s="17" t="n">
        <f aca="false">PRODUCT(V567:W567)</f>
        <v>0.0019490184810103</v>
      </c>
      <c r="Y567" s="64"/>
      <c r="Z567" s="64"/>
      <c r="AA567" s="64"/>
      <c r="AB567" s="64"/>
      <c r="AC567" s="65"/>
      <c r="AD567" s="64"/>
      <c r="AE567" s="64"/>
      <c r="AF567" s="64"/>
      <c r="AG567" s="64"/>
      <c r="AH567" s="64"/>
      <c r="AI567" s="64"/>
      <c r="AJ567" s="64"/>
    </row>
    <row r="568" customFormat="false" ht="15" hidden="false" customHeight="false" outlineLevel="0" collapsed="false">
      <c r="T568" s="34" t="s">
        <v>24</v>
      </c>
      <c r="U568" s="35" t="s">
        <v>25</v>
      </c>
      <c r="V568" s="12" t="n">
        <f aca="false" t="array" ref="V568:V588">'Data Gathering and ect'!F327:F347</f>
        <v>-0.00501176200619469</v>
      </c>
      <c r="W568" s="12" t="n">
        <f aca="false" t="array" ref="W568:W588">'Data Gathering and ect'!F137:F157</f>
        <v>-0.0165751114762571</v>
      </c>
      <c r="X568" s="12" t="n">
        <f aca="false">PRODUCT(V568:W568)</f>
        <v>8.30705139451469E-005</v>
      </c>
      <c r="Y568" s="43" t="n">
        <f aca="false">SUM(V568:V588)</f>
        <v>-0.0216217509939103</v>
      </c>
      <c r="Z568" s="43" t="n">
        <f aca="false">SUM(W568:W588)</f>
        <v>-0.203461465269248</v>
      </c>
      <c r="AA568" s="43" t="n">
        <f aca="false">SUM(X568:X588)</f>
        <v>0.00403383173177127</v>
      </c>
      <c r="AB568" s="43" t="n">
        <f aca="false">Y568*Z568</f>
        <v>0.00439919313890782</v>
      </c>
      <c r="AC568" s="43" t="n">
        <f aca="false">COUNT(V568:V588)</f>
        <v>21</v>
      </c>
      <c r="AD568" s="43" t="n">
        <f aca="false" t="array" ref="AD568:AD568">SUM(POWER(V568:V588,2))</f>
        <v>0.00458247632227326</v>
      </c>
      <c r="AE568" s="43" t="n">
        <f aca="false" t="array" ref="AE568:AE568">SUM(POWER(W568:W588,2))</f>
        <v>0.00851291255220964</v>
      </c>
      <c r="AF568" s="43" t="n">
        <f aca="false">(AA568*AC568)-(AB568)</f>
        <v>0.080311273228289</v>
      </c>
      <c r="AG568" s="43" t="n">
        <f aca="false">(AC568*AD568)-(POWER(Y568,2))</f>
        <v>0.0957645026516959</v>
      </c>
      <c r="AH568" s="43" t="n">
        <f aca="false">(AC568*AE568)-(POWER(Z568,2))</f>
        <v>0.137374595746893</v>
      </c>
      <c r="AI568" s="43" t="n">
        <f aca="false">SQRT(AG568*AH568)</f>
        <v>0.114697906862676</v>
      </c>
      <c r="AJ568" s="43" t="n">
        <f aca="false">AF568 / AI568</f>
        <v>0.700198246202028</v>
      </c>
    </row>
    <row r="569" customFormat="false" ht="15" hidden="false" customHeight="false" outlineLevel="0" collapsed="false">
      <c r="T569" s="34"/>
      <c r="U569" s="35"/>
      <c r="V569" s="12" t="n">
        <v>0.02352673785464</v>
      </c>
      <c r="W569" s="12" t="n">
        <v>-0.00736726044012492</v>
      </c>
      <c r="X569" s="12" t="n">
        <f aca="false">PRODUCT(V569:W569)</f>
        <v>-0.000173327605081679</v>
      </c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</row>
    <row r="570" customFormat="false" ht="15" hidden="false" customHeight="false" outlineLevel="0" collapsed="false">
      <c r="T570" s="34"/>
      <c r="U570" s="35"/>
      <c r="V570" s="12" t="n">
        <v>0.00705059488162085</v>
      </c>
      <c r="W570" s="12" t="n">
        <v>-0.0204525945600373</v>
      </c>
      <c r="X570" s="12" t="n">
        <f aca="false">PRODUCT(V570:W570)</f>
        <v>-0.000144202958520865</v>
      </c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</row>
    <row r="571" customFormat="false" ht="15" hidden="false" customHeight="false" outlineLevel="0" collapsed="false">
      <c r="T571" s="34"/>
      <c r="U571" s="35"/>
      <c r="V571" s="12" t="n">
        <v>-0.0122624934824085</v>
      </c>
      <c r="W571" s="12" t="n">
        <v>-0.00486105117769142</v>
      </c>
      <c r="X571" s="12" t="n">
        <f aca="false">PRODUCT(V571:W571)</f>
        <v>5.96086083840952E-005</v>
      </c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</row>
    <row r="572" customFormat="false" ht="15" hidden="false" customHeight="false" outlineLevel="0" collapsed="false">
      <c r="T572" s="34"/>
      <c r="U572" s="35"/>
      <c r="V572" s="12" t="n">
        <v>-0.0349261781008394</v>
      </c>
      <c r="W572" s="12" t="n">
        <v>-0.0547353984417978</v>
      </c>
      <c r="X572" s="12" t="n">
        <f aca="false">PRODUCT(V572:W572)</f>
        <v>0.00191169827439864</v>
      </c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</row>
    <row r="573" customFormat="false" ht="15" hidden="false" customHeight="false" outlineLevel="0" collapsed="false">
      <c r="T573" s="34"/>
      <c r="U573" s="35"/>
      <c r="V573" s="12" t="n">
        <v>0.0125778124039275</v>
      </c>
      <c r="W573" s="12" t="n">
        <v>0.00370001424487398</v>
      </c>
      <c r="X573" s="12" t="n">
        <f aca="false">PRODUCT(V573:W573)</f>
        <v>4.65380850638844E-005</v>
      </c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</row>
    <row r="574" customFormat="false" ht="15" hidden="false" customHeight="false" outlineLevel="0" collapsed="false">
      <c r="T574" s="34"/>
      <c r="U574" s="35"/>
      <c r="V574" s="12" t="n">
        <v>0.00587632033539087</v>
      </c>
      <c r="W574" s="12" t="n">
        <v>0.0139810677216499</v>
      </c>
      <c r="X574" s="12" t="n">
        <f aca="false">PRODUCT(V574:W574)</f>
        <v>8.21572325632082E-005</v>
      </c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</row>
    <row r="575" customFormat="false" ht="15" hidden="false" customHeight="false" outlineLevel="0" collapsed="false">
      <c r="T575" s="34"/>
      <c r="U575" s="35"/>
      <c r="V575" s="12" t="n">
        <v>0.0191552298439781</v>
      </c>
      <c r="W575" s="12" t="n">
        <v>0.0116891668292016</v>
      </c>
      <c r="X575" s="12" t="n">
        <f aca="false">PRODUCT(V575:W575)</f>
        <v>0.000223908677297961</v>
      </c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</row>
    <row r="576" customFormat="false" ht="15" hidden="false" customHeight="false" outlineLevel="0" collapsed="false">
      <c r="T576" s="34"/>
      <c r="U576" s="35"/>
      <c r="V576" s="12" t="n">
        <v>-0.00185961774265309</v>
      </c>
      <c r="W576" s="12" t="n">
        <v>-0.0191718528169549</v>
      </c>
      <c r="X576" s="12" t="n">
        <f aca="false">PRODUCT(V576:W576)</f>
        <v>3.5652317657943E-005</v>
      </c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</row>
    <row r="577" customFormat="false" ht="15" hidden="false" customHeight="false" outlineLevel="0" collapsed="false">
      <c r="T577" s="34"/>
      <c r="U577" s="35"/>
      <c r="V577" s="12" t="n">
        <v>0.00132051302884406</v>
      </c>
      <c r="W577" s="12" t="n">
        <v>0.00884031632294757</v>
      </c>
      <c r="X577" s="12" t="n">
        <f aca="false">PRODUCT(V577:W577)</f>
        <v>1.16737528835551E-005</v>
      </c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</row>
    <row r="578" customFormat="false" ht="15" hidden="false" customHeight="false" outlineLevel="0" collapsed="false">
      <c r="T578" s="34"/>
      <c r="U578" s="35"/>
      <c r="V578" s="12" t="n">
        <v>-0.0088142461366818</v>
      </c>
      <c r="W578" s="12" t="n">
        <v>-0.00665123850344251</v>
      </c>
      <c r="X578" s="12" t="n">
        <f aca="false">PRODUCT(V578:W578)</f>
        <v>5.86256532831174E-005</v>
      </c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</row>
    <row r="579" customFormat="false" ht="15" hidden="false" customHeight="false" outlineLevel="0" collapsed="false">
      <c r="T579" s="34"/>
      <c r="U579" s="35"/>
      <c r="V579" s="12" t="n">
        <v>-0.0161390405846671</v>
      </c>
      <c r="W579" s="12" t="n">
        <v>-0.0355662761910942</v>
      </c>
      <c r="X579" s="12" t="n">
        <f aca="false">PRODUCT(V579:W579)</f>
        <v>0.000574005574893548</v>
      </c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</row>
    <row r="580" customFormat="false" ht="15" hidden="false" customHeight="false" outlineLevel="0" collapsed="false">
      <c r="T580" s="34"/>
      <c r="U580" s="35"/>
      <c r="V580" s="12" t="n">
        <v>-0.022503021563514</v>
      </c>
      <c r="W580" s="12" t="n">
        <v>-0.00755542964234834</v>
      </c>
      <c r="X580" s="12" t="n">
        <f aca="false">PRODUCT(V580:W580)</f>
        <v>0.000170019996163378</v>
      </c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</row>
    <row r="581" customFormat="false" ht="15" hidden="false" customHeight="false" outlineLevel="0" collapsed="false">
      <c r="T581" s="34"/>
      <c r="U581" s="35"/>
      <c r="V581" s="12" t="n">
        <v>0.0156093186592727</v>
      </c>
      <c r="W581" s="12" t="n">
        <v>0.0189202907574124</v>
      </c>
      <c r="X581" s="12" t="n">
        <f aca="false">PRODUCT(V581:W581)</f>
        <v>0.000295332847558542</v>
      </c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</row>
    <row r="582" customFormat="false" ht="15" hidden="false" customHeight="false" outlineLevel="0" collapsed="false">
      <c r="T582" s="34"/>
      <c r="U582" s="35"/>
      <c r="V582" s="12" t="n">
        <v>0.000848385464056634</v>
      </c>
      <c r="W582" s="12" t="n">
        <v>-0.00322414644134916</v>
      </c>
      <c r="X582" s="12" t="n">
        <f aca="false">PRODUCT(V582:W582)</f>
        <v>-2.73531897483055E-006</v>
      </c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</row>
    <row r="583" customFormat="false" ht="15" hidden="false" customHeight="false" outlineLevel="0" collapsed="false">
      <c r="T583" s="34"/>
      <c r="U583" s="35"/>
      <c r="V583" s="12" t="n">
        <v>0.00883810822235986</v>
      </c>
      <c r="W583" s="12" t="n">
        <v>-0.0163826280142114</v>
      </c>
      <c r="X583" s="12" t="n">
        <f aca="false">PRODUCT(V583:W583)</f>
        <v>-0.000144791439356265</v>
      </c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</row>
    <row r="584" customFormat="false" ht="15" hidden="false" customHeight="false" outlineLevel="0" collapsed="false">
      <c r="T584" s="34"/>
      <c r="U584" s="35"/>
      <c r="V584" s="12" t="n">
        <v>0.0109481594253484</v>
      </c>
      <c r="W584" s="12" t="n">
        <v>8.30905482125388E-005</v>
      </c>
      <c r="X584" s="12" t="n">
        <f aca="false">PRODUCT(V584:W584)</f>
        <v>9.09688568570472E-007</v>
      </c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</row>
    <row r="585" customFormat="false" ht="15" hidden="false" customHeight="false" outlineLevel="0" collapsed="false">
      <c r="T585" s="34"/>
      <c r="U585" s="35"/>
      <c r="V585" s="12" t="n">
        <v>0.0130707882223309</v>
      </c>
      <c r="W585" s="12" t="n">
        <v>0.000705513872944152</v>
      </c>
      <c r="X585" s="12" t="n">
        <f aca="false">PRODUCT(V585:W585)</f>
        <v>9.22162242116948E-006</v>
      </c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</row>
    <row r="586" customFormat="false" ht="15" hidden="false" customHeight="false" outlineLevel="0" collapsed="false">
      <c r="T586" s="34"/>
      <c r="U586" s="35"/>
      <c r="V586" s="12" t="n">
        <v>-0.0156128593145617</v>
      </c>
      <c r="W586" s="12" t="n">
        <v>-0.0385239364907335</v>
      </c>
      <c r="X586" s="12" t="n">
        <f aca="false">PRODUCT(V586:W586)</f>
        <v>0.000601468800672932</v>
      </c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</row>
    <row r="587" customFormat="false" ht="15" hidden="false" customHeight="false" outlineLevel="0" collapsed="false">
      <c r="T587" s="34"/>
      <c r="U587" s="35"/>
      <c r="V587" s="12" t="n">
        <v>-0.00687206366679583</v>
      </c>
      <c r="W587" s="12" t="n">
        <v>-0.0170775622471133</v>
      </c>
      <c r="X587" s="12" t="n">
        <f aca="false">PRODUCT(V587:W587)</f>
        <v>0.000117358095035831</v>
      </c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</row>
    <row r="588" customFormat="false" ht="15" hidden="false" customHeight="false" outlineLevel="0" collapsed="false">
      <c r="T588" s="34"/>
      <c r="U588" s="35"/>
      <c r="V588" s="12" t="n">
        <v>-0.0164424367373641</v>
      </c>
      <c r="W588" s="12" t="n">
        <v>-0.0132364391233342</v>
      </c>
      <c r="X588" s="12" t="n">
        <f aca="false">PRODUCT(V588:W588)</f>
        <v>0.000217639312913394</v>
      </c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</row>
    <row r="589" customFormat="false" ht="15" hidden="false" customHeight="false" outlineLevel="0" collapsed="false">
      <c r="T589" s="34"/>
      <c r="U589" s="35"/>
      <c r="V589" s="13" t="n">
        <f aca="false" t="array" ref="V589:V614">'Data Gathering and ect'!F348:F373</f>
        <v>0.0156543920092478</v>
      </c>
      <c r="W589" s="13" t="n">
        <f aca="false" t="array" ref="W589:W614">'Data Gathering and ect'!F158:F183</f>
        <v>-0.023361829288616</v>
      </c>
      <c r="X589" s="13" t="n">
        <f aca="false">PRODUCT(V589:W589)</f>
        <v>-0.000365715233737122</v>
      </c>
      <c r="Y589" s="56" t="n">
        <f aca="false">SUM(V589:V614)</f>
        <v>-0.249338051904321</v>
      </c>
      <c r="Z589" s="56" t="n">
        <f aca="false">SUM(W589:W614)</f>
        <v>-0.291079031091748</v>
      </c>
      <c r="AA589" s="56" t="n">
        <f aca="false">SUM(X589:X614)</f>
        <v>0.0825821425999359</v>
      </c>
      <c r="AB589" s="56" t="n">
        <f aca="false">Y589*Z589</f>
        <v>0.0725770785626138</v>
      </c>
      <c r="AC589" s="57" t="n">
        <f aca="false">COUNT(V589:V614)</f>
        <v>26</v>
      </c>
      <c r="AD589" s="56" t="n">
        <f aca="false" t="array" ref="AD589:AD589">SUM(POWER(V589:V614,2))</f>
        <v>0.109481364943174</v>
      </c>
      <c r="AE589" s="56" t="n">
        <f aca="false" t="array" ref="AE589:AE589">SUM(POWER(W589:W614,2))</f>
        <v>0.089643219554737</v>
      </c>
      <c r="AF589" s="56" t="n">
        <f aca="false">(AA589*AC589)-(AB589)</f>
        <v>2.07455862903572</v>
      </c>
      <c r="AG589" s="56" t="n">
        <f aca="false">(AC589*AD589)-(POWER(Y589,2))</f>
        <v>2.78434602439508</v>
      </c>
      <c r="AH589" s="56" t="n">
        <f aca="false">(AC589*AE589)-(POWER(Z589,2))</f>
        <v>2.24599670608185</v>
      </c>
      <c r="AI589" s="56" t="n">
        <f aca="false">SQRT(AG589*AH589)</f>
        <v>2.50072629437598</v>
      </c>
      <c r="AJ589" s="56" t="n">
        <f aca="false">AF589 / AI589</f>
        <v>0.829582443189127</v>
      </c>
    </row>
    <row r="590" customFormat="false" ht="15" hidden="false" customHeight="false" outlineLevel="0" collapsed="false">
      <c r="T590" s="34"/>
      <c r="U590" s="35"/>
      <c r="V590" s="13" t="n">
        <v>-0.0152770401967075</v>
      </c>
      <c r="W590" s="13" t="n">
        <v>0.0172900497344681</v>
      </c>
      <c r="X590" s="13" t="n">
        <f aca="false">PRODUCT(V590:W590)</f>
        <v>-0.000264140784796541</v>
      </c>
      <c r="Y590" s="56"/>
      <c r="Z590" s="56"/>
      <c r="AA590" s="56"/>
      <c r="AB590" s="56"/>
      <c r="AC590" s="57"/>
      <c r="AD590" s="56"/>
      <c r="AE590" s="56"/>
      <c r="AF590" s="56"/>
      <c r="AG590" s="56"/>
      <c r="AH590" s="56"/>
      <c r="AI590" s="56"/>
      <c r="AJ590" s="56"/>
    </row>
    <row r="591" customFormat="false" ht="15" hidden="false" customHeight="false" outlineLevel="0" collapsed="false">
      <c r="T591" s="34"/>
      <c r="U591" s="35"/>
      <c r="V591" s="13" t="n">
        <v>-0.00441939777758016</v>
      </c>
      <c r="W591" s="13" t="n">
        <v>-0.0371437596592941</v>
      </c>
      <c r="X591" s="13" t="n">
        <f aca="false">PRODUCT(V591:W591)</f>
        <v>0.000164153048889256</v>
      </c>
      <c r="Y591" s="56"/>
      <c r="Z591" s="56"/>
      <c r="AA591" s="56"/>
      <c r="AB591" s="56"/>
      <c r="AC591" s="57"/>
      <c r="AD591" s="56"/>
      <c r="AE591" s="56"/>
      <c r="AF591" s="56"/>
      <c r="AG591" s="56"/>
      <c r="AH591" s="56"/>
      <c r="AI591" s="56"/>
      <c r="AJ591" s="56"/>
    </row>
    <row r="592" customFormat="false" ht="15" hidden="false" customHeight="false" outlineLevel="0" collapsed="false">
      <c r="T592" s="34"/>
      <c r="U592" s="35"/>
      <c r="V592" s="13" t="n">
        <v>-0.000997925288084289</v>
      </c>
      <c r="W592" s="13" t="n">
        <v>0.0281537601797357</v>
      </c>
      <c r="X592" s="13" t="n">
        <f aca="false">PRODUCT(V592:W592)</f>
        <v>-2.80953492380187E-005</v>
      </c>
      <c r="Y592" s="56"/>
      <c r="Z592" s="56"/>
      <c r="AA592" s="56"/>
      <c r="AB592" s="56"/>
      <c r="AC592" s="57"/>
      <c r="AD592" s="56"/>
      <c r="AE592" s="56"/>
      <c r="AF592" s="56"/>
      <c r="AG592" s="56"/>
      <c r="AH592" s="56"/>
      <c r="AI592" s="56"/>
      <c r="AJ592" s="56"/>
    </row>
    <row r="593" customFormat="false" ht="15" hidden="false" customHeight="false" outlineLevel="0" collapsed="false">
      <c r="T593" s="34"/>
      <c r="U593" s="35"/>
      <c r="V593" s="13" t="n">
        <v>0.00520901689469611</v>
      </c>
      <c r="W593" s="13" t="n">
        <v>0.00507985634745367</v>
      </c>
      <c r="X593" s="13" t="n">
        <f aca="false">PRODUCT(V593:W593)</f>
        <v>2.64610575365154E-005</v>
      </c>
      <c r="Y593" s="56"/>
      <c r="Z593" s="56"/>
      <c r="AA593" s="56"/>
      <c r="AB593" s="56"/>
      <c r="AC593" s="57"/>
      <c r="AD593" s="56"/>
      <c r="AE593" s="56"/>
      <c r="AF593" s="56"/>
      <c r="AG593" s="56"/>
      <c r="AH593" s="56"/>
      <c r="AI593" s="56"/>
      <c r="AJ593" s="56"/>
    </row>
    <row r="594" customFormat="false" ht="15" hidden="false" customHeight="false" outlineLevel="0" collapsed="false">
      <c r="T594" s="34"/>
      <c r="U594" s="35"/>
      <c r="V594" s="13" t="n">
        <v>0.000488630175269122</v>
      </c>
      <c r="W594" s="13" t="n">
        <v>-0.0335655926492908</v>
      </c>
      <c r="X594" s="13" t="n">
        <f aca="false">PRODUCT(V594:W594)</f>
        <v>-1.64011614192349E-005</v>
      </c>
      <c r="Y594" s="56"/>
      <c r="Z594" s="56"/>
      <c r="AA594" s="56"/>
      <c r="AB594" s="56"/>
      <c r="AC594" s="57"/>
      <c r="AD594" s="56"/>
      <c r="AE594" s="56"/>
      <c r="AF594" s="56"/>
      <c r="AG594" s="56"/>
      <c r="AH594" s="56"/>
      <c r="AI594" s="56"/>
      <c r="AJ594" s="56"/>
    </row>
    <row r="595" customFormat="false" ht="15" hidden="false" customHeight="false" outlineLevel="0" collapsed="false">
      <c r="T595" s="34"/>
      <c r="U595" s="35"/>
      <c r="V595" s="13" t="n">
        <v>-0.0211588830495266</v>
      </c>
      <c r="W595" s="13" t="n">
        <v>0.0119882549233612</v>
      </c>
      <c r="X595" s="13" t="n">
        <f aca="false">PRODUCT(V595:W595)</f>
        <v>-0.000253658083891311</v>
      </c>
      <c r="Y595" s="56"/>
      <c r="Z595" s="56"/>
      <c r="AA595" s="56"/>
      <c r="AB595" s="56"/>
      <c r="AC595" s="57"/>
      <c r="AD595" s="56"/>
      <c r="AE595" s="56"/>
      <c r="AF595" s="56"/>
      <c r="AG595" s="56"/>
      <c r="AH595" s="56"/>
      <c r="AI595" s="56"/>
      <c r="AJ595" s="56"/>
    </row>
    <row r="596" customFormat="false" ht="15" hidden="false" customHeight="false" outlineLevel="0" collapsed="false">
      <c r="T596" s="34"/>
      <c r="U596" s="35"/>
      <c r="V596" s="13" t="n">
        <v>-0.0171658737065741</v>
      </c>
      <c r="W596" s="13" t="n">
        <v>0.0261701880295817</v>
      </c>
      <c r="X596" s="13" t="n">
        <f aca="false">PRODUCT(V596:W596)</f>
        <v>-0.000449234142593097</v>
      </c>
      <c r="Y596" s="56"/>
      <c r="Z596" s="56"/>
      <c r="AA596" s="56"/>
      <c r="AB596" s="56"/>
      <c r="AC596" s="57"/>
      <c r="AD596" s="56"/>
      <c r="AE596" s="56"/>
      <c r="AF596" s="56"/>
      <c r="AG596" s="56"/>
      <c r="AH596" s="56"/>
      <c r="AI596" s="56"/>
      <c r="AJ596" s="56"/>
    </row>
    <row r="597" customFormat="false" ht="15" hidden="false" customHeight="false" outlineLevel="0" collapsed="false">
      <c r="T597" s="34"/>
      <c r="U597" s="35"/>
      <c r="V597" s="13" t="n">
        <v>-0.0629107928451944</v>
      </c>
      <c r="W597" s="13" t="n">
        <v>-0.086624891430251</v>
      </c>
      <c r="X597" s="13" t="n">
        <f aca="false">PRODUCT(V597:W597)</f>
        <v>0.00544964060000598</v>
      </c>
      <c r="Y597" s="56"/>
      <c r="Z597" s="56"/>
      <c r="AA597" s="56"/>
      <c r="AB597" s="56"/>
      <c r="AC597" s="57"/>
      <c r="AD597" s="56"/>
      <c r="AE597" s="56"/>
      <c r="AF597" s="56"/>
      <c r="AG597" s="56"/>
      <c r="AH597" s="56"/>
      <c r="AI597" s="56"/>
      <c r="AJ597" s="56"/>
    </row>
    <row r="598" customFormat="false" ht="15" hidden="false" customHeight="false" outlineLevel="0" collapsed="false">
      <c r="T598" s="34"/>
      <c r="U598" s="35"/>
      <c r="V598" s="13" t="n">
        <v>0.0349877783745267</v>
      </c>
      <c r="W598" s="13" t="n">
        <v>0.0513667456357858</v>
      </c>
      <c r="X598" s="13" t="n">
        <f aca="false">PRODUCT(V598:W598)</f>
        <v>0.00179720831212556</v>
      </c>
      <c r="Y598" s="56"/>
      <c r="Z598" s="56"/>
      <c r="AA598" s="56"/>
      <c r="AB598" s="56"/>
      <c r="AC598" s="57"/>
      <c r="AD598" s="56"/>
      <c r="AE598" s="56"/>
      <c r="AF598" s="56"/>
      <c r="AG598" s="56"/>
      <c r="AH598" s="56"/>
      <c r="AI598" s="56"/>
      <c r="AJ598" s="56"/>
    </row>
    <row r="599" customFormat="false" ht="15" hidden="false" customHeight="false" outlineLevel="0" collapsed="false">
      <c r="T599" s="34"/>
      <c r="U599" s="35"/>
      <c r="V599" s="13" t="n">
        <v>-0.0132470922217287</v>
      </c>
      <c r="W599" s="13" t="n">
        <v>-0.0496645241573237</v>
      </c>
      <c r="X599" s="13" t="n">
        <f aca="false">PRODUCT(V599:W599)</f>
        <v>0.00065791053166034</v>
      </c>
      <c r="Y599" s="56"/>
      <c r="Z599" s="56"/>
      <c r="AA599" s="56"/>
      <c r="AB599" s="56"/>
      <c r="AC599" s="57"/>
      <c r="AD599" s="56"/>
      <c r="AE599" s="56"/>
      <c r="AF599" s="56"/>
      <c r="AG599" s="56"/>
      <c r="AH599" s="56"/>
      <c r="AI599" s="56"/>
      <c r="AJ599" s="56"/>
    </row>
    <row r="600" customFormat="false" ht="15" hidden="false" customHeight="false" outlineLevel="0" collapsed="false">
      <c r="T600" s="34"/>
      <c r="U600" s="35"/>
      <c r="V600" s="13" t="n">
        <v>0.0234066299112286</v>
      </c>
      <c r="W600" s="13" t="n">
        <v>0.00562836665612387</v>
      </c>
      <c r="X600" s="13" t="n">
        <f aca="false">PRODUCT(V600:W600)</f>
        <v>0.000131741095324591</v>
      </c>
      <c r="Y600" s="56"/>
      <c r="Z600" s="56"/>
      <c r="AA600" s="56"/>
      <c r="AB600" s="56"/>
      <c r="AC600" s="57"/>
      <c r="AD600" s="56"/>
      <c r="AE600" s="56"/>
      <c r="AF600" s="56"/>
      <c r="AG600" s="56"/>
      <c r="AH600" s="56"/>
      <c r="AI600" s="56"/>
      <c r="AJ600" s="56"/>
    </row>
    <row r="601" customFormat="false" ht="15" hidden="false" customHeight="false" outlineLevel="0" collapsed="false">
      <c r="T601" s="34"/>
      <c r="U601" s="35"/>
      <c r="V601" s="13" t="n">
        <v>-0.0855493687361619</v>
      </c>
      <c r="W601" s="13" t="n">
        <v>-0.0733491729754263</v>
      </c>
      <c r="X601" s="13" t="n">
        <f aca="false">PRODUCT(V601:W601)</f>
        <v>0.00627497544536727</v>
      </c>
      <c r="Y601" s="56"/>
      <c r="Z601" s="56"/>
      <c r="AA601" s="56"/>
      <c r="AB601" s="56"/>
      <c r="AC601" s="57"/>
      <c r="AD601" s="56"/>
      <c r="AE601" s="56"/>
      <c r="AF601" s="56"/>
      <c r="AG601" s="56"/>
      <c r="AH601" s="56"/>
      <c r="AI601" s="56"/>
      <c r="AJ601" s="56"/>
    </row>
    <row r="602" customFormat="false" ht="15" hidden="false" customHeight="false" outlineLevel="0" collapsed="false">
      <c r="T602" s="34"/>
      <c r="U602" s="35"/>
      <c r="V602" s="13" t="n">
        <v>-0.00223882856733404</v>
      </c>
      <c r="W602" s="13" t="n">
        <v>-0.0288392613724096</v>
      </c>
      <c r="X602" s="13" t="n">
        <f aca="false">PRODUCT(V602:W602)</f>
        <v>6.45661622213637E-005</v>
      </c>
      <c r="Y602" s="56"/>
      <c r="Z602" s="56"/>
      <c r="AA602" s="56"/>
      <c r="AB602" s="56"/>
      <c r="AC602" s="57"/>
      <c r="AD602" s="56"/>
      <c r="AE602" s="56"/>
      <c r="AF602" s="56"/>
      <c r="AG602" s="56"/>
      <c r="AH602" s="56"/>
      <c r="AI602" s="56"/>
      <c r="AJ602" s="56"/>
    </row>
    <row r="603" customFormat="false" ht="15" hidden="false" customHeight="false" outlineLevel="0" collapsed="false">
      <c r="T603" s="34"/>
      <c r="U603" s="35"/>
      <c r="V603" s="13" t="n">
        <v>-0.153092839402529</v>
      </c>
      <c r="W603" s="13" t="n">
        <v>-0.137582112305408</v>
      </c>
      <c r="X603" s="13" t="n">
        <f aca="false">PRODUCT(V603:W603)</f>
        <v>0.0210628362238325</v>
      </c>
      <c r="Y603" s="56"/>
      <c r="Z603" s="56"/>
      <c r="AA603" s="56"/>
      <c r="AB603" s="56"/>
      <c r="AC603" s="57"/>
      <c r="AD603" s="56"/>
      <c r="AE603" s="56"/>
      <c r="AF603" s="56"/>
      <c r="AG603" s="56"/>
      <c r="AH603" s="56"/>
      <c r="AI603" s="56"/>
      <c r="AJ603" s="56"/>
    </row>
    <row r="604" customFormat="false" ht="15" hidden="false" customHeight="false" outlineLevel="0" collapsed="false">
      <c r="T604" s="34"/>
      <c r="U604" s="35"/>
      <c r="V604" s="13" t="n">
        <v>-0.209328580913109</v>
      </c>
      <c r="W604" s="13" t="n">
        <v>-0.160490109664439</v>
      </c>
      <c r="X604" s="13" t="n">
        <f aca="false">PRODUCT(V604:W604)</f>
        <v>0.0335951669066463</v>
      </c>
      <c r="Y604" s="56"/>
      <c r="Z604" s="56"/>
      <c r="AA604" s="56"/>
      <c r="AB604" s="56"/>
      <c r="AC604" s="57"/>
      <c r="AD604" s="56"/>
      <c r="AE604" s="56"/>
      <c r="AF604" s="56"/>
      <c r="AG604" s="56"/>
      <c r="AH604" s="56"/>
      <c r="AI604" s="56"/>
      <c r="AJ604" s="56"/>
    </row>
    <row r="605" customFormat="false" ht="15" hidden="false" customHeight="false" outlineLevel="0" collapsed="false">
      <c r="T605" s="34"/>
      <c r="U605" s="35"/>
      <c r="V605" s="13" t="n">
        <v>0.110959430554681</v>
      </c>
      <c r="W605" s="13" t="n">
        <v>0.0297539369524458</v>
      </c>
      <c r="X605" s="13" t="n">
        <f aca="false">PRODUCT(V605:W605)</f>
        <v>0.00330147990100327</v>
      </c>
      <c r="Y605" s="56"/>
      <c r="Z605" s="56"/>
      <c r="AA605" s="56"/>
      <c r="AB605" s="56"/>
      <c r="AC605" s="57"/>
      <c r="AD605" s="56"/>
      <c r="AE605" s="56"/>
      <c r="AF605" s="56"/>
      <c r="AG605" s="56"/>
      <c r="AH605" s="56"/>
      <c r="AI605" s="56"/>
      <c r="AJ605" s="56"/>
    </row>
    <row r="606" customFormat="false" ht="15" hidden="false" customHeight="false" outlineLevel="0" collapsed="false">
      <c r="T606" s="34"/>
      <c r="U606" s="35"/>
      <c r="V606" s="13" t="n">
        <v>0.0237164245191437</v>
      </c>
      <c r="W606" s="13" t="n">
        <v>0.0363105150162877</v>
      </c>
      <c r="X606" s="13" t="n">
        <f aca="false">PRODUCT(V606:W606)</f>
        <v>0.000861155588635021</v>
      </c>
      <c r="Y606" s="56"/>
      <c r="Z606" s="56"/>
      <c r="AA606" s="56"/>
      <c r="AB606" s="56"/>
      <c r="AC606" s="57"/>
      <c r="AD606" s="56"/>
      <c r="AE606" s="56"/>
      <c r="AF606" s="56"/>
      <c r="AG606" s="56"/>
      <c r="AH606" s="56"/>
      <c r="AI606" s="56"/>
      <c r="AJ606" s="56"/>
    </row>
    <row r="607" customFormat="false" ht="15" hidden="false" customHeight="false" outlineLevel="0" collapsed="false">
      <c r="T607" s="34"/>
      <c r="U607" s="35"/>
      <c r="V607" s="13" t="n">
        <v>0.0455280824270385</v>
      </c>
      <c r="W607" s="13" t="n">
        <v>0.0947155701478657</v>
      </c>
      <c r="X607" s="13" t="n">
        <f aca="false">PRODUCT(V607:W607)</f>
        <v>0.00431221828481598</v>
      </c>
      <c r="Y607" s="56"/>
      <c r="Z607" s="56"/>
      <c r="AA607" s="56"/>
      <c r="AB607" s="56"/>
      <c r="AC607" s="57"/>
      <c r="AD607" s="56"/>
      <c r="AE607" s="56"/>
      <c r="AF607" s="56"/>
      <c r="AG607" s="56"/>
      <c r="AH607" s="56"/>
      <c r="AI607" s="56"/>
      <c r="AJ607" s="56"/>
    </row>
    <row r="608" customFormat="false" ht="15" hidden="false" customHeight="false" outlineLevel="0" collapsed="false">
      <c r="T608" s="34"/>
      <c r="U608" s="35"/>
      <c r="V608" s="13" t="n">
        <v>0.0393077065288061</v>
      </c>
      <c r="W608" s="13" t="n">
        <v>0.0674655061903415</v>
      </c>
      <c r="X608" s="13" t="n">
        <f aca="false">PRODUCT(V608:W608)</f>
        <v>0.0026519143181473</v>
      </c>
      <c r="Y608" s="56"/>
      <c r="Z608" s="56"/>
      <c r="AA608" s="56"/>
      <c r="AB608" s="56"/>
      <c r="AC608" s="57"/>
      <c r="AD608" s="56"/>
      <c r="AE608" s="56"/>
      <c r="AF608" s="56"/>
      <c r="AG608" s="56"/>
      <c r="AH608" s="56"/>
      <c r="AI608" s="56"/>
      <c r="AJ608" s="56"/>
    </row>
    <row r="609" customFormat="false" ht="15" hidden="false" customHeight="false" outlineLevel="0" collapsed="false">
      <c r="T609" s="34"/>
      <c r="U609" s="35"/>
      <c r="V609" s="13" t="n">
        <v>-0.0667197228925254</v>
      </c>
      <c r="W609" s="13" t="n">
        <v>-0.0483760468566938</v>
      </c>
      <c r="X609" s="13" t="n">
        <f aca="false">PRODUCT(V609:W609)</f>
        <v>0.00322763644091443</v>
      </c>
      <c r="Y609" s="56"/>
      <c r="Z609" s="56"/>
      <c r="AA609" s="56"/>
      <c r="AB609" s="56"/>
      <c r="AC609" s="57"/>
      <c r="AD609" s="56"/>
      <c r="AE609" s="56"/>
      <c r="AF609" s="56"/>
      <c r="AG609" s="56"/>
      <c r="AH609" s="56"/>
      <c r="AI609" s="56"/>
      <c r="AJ609" s="56"/>
    </row>
    <row r="610" customFormat="false" ht="15" hidden="false" customHeight="false" outlineLevel="0" collapsed="false">
      <c r="T610" s="34"/>
      <c r="U610" s="35"/>
      <c r="V610" s="13" t="n">
        <v>0.0334725971174805</v>
      </c>
      <c r="W610" s="13" t="n">
        <v>0.036157954797277</v>
      </c>
      <c r="X610" s="13" t="n">
        <f aca="false">PRODUCT(V610:W610)</f>
        <v>0.00121030065352132</v>
      </c>
      <c r="Y610" s="56"/>
      <c r="Z610" s="56"/>
      <c r="AA610" s="56"/>
      <c r="AB610" s="56"/>
      <c r="AC610" s="57"/>
      <c r="AD610" s="56"/>
      <c r="AE610" s="56"/>
      <c r="AF610" s="56"/>
      <c r="AG610" s="56"/>
      <c r="AH610" s="56"/>
      <c r="AI610" s="56"/>
      <c r="AJ610" s="56"/>
    </row>
    <row r="611" customFormat="false" ht="15" hidden="false" customHeight="false" outlineLevel="0" collapsed="false">
      <c r="T611" s="34"/>
      <c r="U611" s="35"/>
      <c r="V611" s="13" t="n">
        <v>-0.00217034976892982</v>
      </c>
      <c r="W611" s="13" t="n">
        <v>-0.0200172877898392</v>
      </c>
      <c r="X611" s="13" t="n">
        <f aca="false">PRODUCT(V611:W611)</f>
        <v>4.34445159292792E-005</v>
      </c>
      <c r="Y611" s="56"/>
      <c r="Z611" s="56"/>
      <c r="AA611" s="56"/>
      <c r="AB611" s="56"/>
      <c r="AC611" s="57"/>
      <c r="AD611" s="56"/>
      <c r="AE611" s="56"/>
      <c r="AF611" s="56"/>
      <c r="AG611" s="56"/>
      <c r="AH611" s="56"/>
      <c r="AI611" s="56"/>
      <c r="AJ611" s="56"/>
    </row>
    <row r="612" customFormat="false" ht="15" hidden="false" customHeight="false" outlineLevel="0" collapsed="false">
      <c r="T612" s="34"/>
      <c r="U612" s="35"/>
      <c r="V612" s="13" t="n">
        <v>-0.0173542650642524</v>
      </c>
      <c r="W612" s="13" t="n">
        <v>0.0242544516808572</v>
      </c>
      <c r="X612" s="13" t="n">
        <f aca="false">PRODUCT(V612:W612)</f>
        <v>-0.000420918183457698</v>
      </c>
      <c r="Y612" s="56"/>
      <c r="Z612" s="56"/>
      <c r="AA612" s="56"/>
      <c r="AB612" s="56"/>
      <c r="AC612" s="57"/>
      <c r="AD612" s="56"/>
      <c r="AE612" s="56"/>
      <c r="AF612" s="56"/>
      <c r="AG612" s="56"/>
      <c r="AH612" s="56"/>
      <c r="AI612" s="56"/>
      <c r="AJ612" s="56"/>
    </row>
    <row r="613" customFormat="false" ht="15" hidden="false" customHeight="false" outlineLevel="0" collapsed="false">
      <c r="T613" s="34"/>
      <c r="U613" s="35"/>
      <c r="V613" s="13" t="n">
        <v>0.0188299474502944</v>
      </c>
      <c r="W613" s="13" t="n">
        <v>-0.0272588963599887</v>
      </c>
      <c r="X613" s="13" t="n">
        <f aca="false">PRODUCT(V613:W613)</f>
        <v>-0.000513283586011609</v>
      </c>
      <c r="Y613" s="56"/>
      <c r="Z613" s="56"/>
      <c r="AA613" s="56"/>
      <c r="AB613" s="56"/>
      <c r="AC613" s="57"/>
      <c r="AD613" s="56"/>
      <c r="AE613" s="56"/>
      <c r="AF613" s="56"/>
      <c r="AG613" s="56"/>
      <c r="AH613" s="56"/>
      <c r="AI613" s="56"/>
      <c r="AJ613" s="56"/>
    </row>
    <row r="614" customFormat="false" ht="15" hidden="false" customHeight="false" outlineLevel="0" collapsed="false">
      <c r="T614" s="34"/>
      <c r="U614" s="35"/>
      <c r="V614" s="13" t="n">
        <v>0.0707322725635038</v>
      </c>
      <c r="W614" s="13" t="n">
        <v>0.000859297125646918</v>
      </c>
      <c r="X614" s="13" t="n">
        <f aca="false">PRODUCT(V614:W614)</f>
        <v>6.07800385042932E-005</v>
      </c>
      <c r="Y614" s="56"/>
      <c r="Z614" s="56"/>
      <c r="AA614" s="56"/>
      <c r="AB614" s="56"/>
      <c r="AC614" s="57"/>
      <c r="AD614" s="56"/>
      <c r="AE614" s="56"/>
      <c r="AF614" s="56"/>
      <c r="AG614" s="56"/>
      <c r="AH614" s="56"/>
      <c r="AI614" s="56"/>
      <c r="AJ614" s="56"/>
    </row>
    <row r="615" customFormat="false" ht="15" hidden="false" customHeight="false" outlineLevel="0" collapsed="false">
      <c r="T615" s="34"/>
      <c r="U615" s="35" t="s">
        <v>26</v>
      </c>
      <c r="V615" s="12" t="n">
        <f aca="false" t="array" ref="V615:V635">'Data Gathering and ect'!F327:F347</f>
        <v>-0.00501176200619469</v>
      </c>
      <c r="W615" s="12" t="n">
        <f aca="false" t="array" ref="W615:W635">'Data Gathering and ect'!F264:F284</f>
        <v>-0.00118608226195693</v>
      </c>
      <c r="X615" s="12" t="n">
        <f aca="false">PRODUCT(V615:W615)</f>
        <v>5.9443620166972E-006</v>
      </c>
      <c r="Y615" s="43" t="n">
        <f aca="false">SUM(V615:V635)</f>
        <v>-0.0216217509939103</v>
      </c>
      <c r="Z615" s="43" t="n">
        <f aca="false">SUM(W615:W635)</f>
        <v>-0.0920906649431618</v>
      </c>
      <c r="AA615" s="43" t="n">
        <f aca="false">SUM(X615:X635)</f>
        <v>0.00241538286063454</v>
      </c>
      <c r="AB615" s="43" t="n">
        <f aca="false">Y615*Z615</f>
        <v>0.00199116142626467</v>
      </c>
      <c r="AC615" s="43" t="n">
        <f aca="false">COUNT(V615:V635)</f>
        <v>21</v>
      </c>
      <c r="AD615" s="43" t="n">
        <f aca="false" t="array" ref="AD615:AD615">SUM(POWER(V615:V635,2))</f>
        <v>0.00458247632227326</v>
      </c>
      <c r="AE615" s="43" t="n">
        <f aca="false" t="array" ref="AE615:AE615">SUM(POWER(W615:W635,2))</f>
        <v>0.0052664797019935</v>
      </c>
      <c r="AF615" s="43" t="n">
        <f aca="false">(AA615*AC615)-(AB615)</f>
        <v>0.0487318786470606</v>
      </c>
      <c r="AG615" s="43" t="n">
        <f aca="false">(AC615*AD615)-(POWER(Y615,2))</f>
        <v>0.0957645026516959</v>
      </c>
      <c r="AH615" s="43" t="n">
        <f aca="false">(AC615*AE615)-(POWER(Z615,2))</f>
        <v>0.10211538317219</v>
      </c>
      <c r="AI615" s="43" t="n">
        <f aca="false">SQRT(AG615*AH615)</f>
        <v>0.0988889725023579</v>
      </c>
      <c r="AJ615" s="43" t="n">
        <f aca="false">AF615 / AI615</f>
        <v>0.492793861781693</v>
      </c>
    </row>
    <row r="616" customFormat="false" ht="15" hidden="false" customHeight="false" outlineLevel="0" collapsed="false">
      <c r="T616" s="34"/>
      <c r="U616" s="35"/>
      <c r="V616" s="12" t="n">
        <v>0.02352673785464</v>
      </c>
      <c r="W616" s="12" t="n">
        <v>-0.0070748304198176</v>
      </c>
      <c r="X616" s="12" t="n">
        <f aca="false">PRODUCT(V616:W616)</f>
        <v>-0.000166447680653081</v>
      </c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</row>
    <row r="617" customFormat="false" ht="15" hidden="false" customHeight="false" outlineLevel="0" collapsed="false">
      <c r="T617" s="34"/>
      <c r="U617" s="35"/>
      <c r="V617" s="12" t="n">
        <v>0.00705059488162085</v>
      </c>
      <c r="W617" s="12" t="n">
        <v>-0.0178849923137285</v>
      </c>
      <c r="X617" s="12" t="n">
        <f aca="false">PRODUCT(V617:W617)</f>
        <v>-0.000126099835265002</v>
      </c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</row>
    <row r="618" customFormat="false" ht="15" hidden="false" customHeight="false" outlineLevel="0" collapsed="false">
      <c r="T618" s="34"/>
      <c r="U618" s="35"/>
      <c r="V618" s="12" t="n">
        <v>-0.0122624934824085</v>
      </c>
      <c r="W618" s="12" t="n">
        <v>-0.0237559486668291</v>
      </c>
      <c r="X618" s="12" t="n">
        <f aca="false">PRODUCT(V618:W618)</f>
        <v>0.000291307165695423</v>
      </c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</row>
    <row r="619" customFormat="false" ht="15" hidden="false" customHeight="false" outlineLevel="0" collapsed="false">
      <c r="T619" s="34"/>
      <c r="U619" s="35"/>
      <c r="V619" s="12" t="n">
        <v>-0.0349261781008394</v>
      </c>
      <c r="W619" s="12" t="n">
        <v>-0.0134366753469051</v>
      </c>
      <c r="X619" s="12" t="n">
        <f aca="false">PRODUCT(V619:W619)</f>
        <v>0.000469291716249166</v>
      </c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</row>
    <row r="620" customFormat="false" ht="15" hidden="false" customHeight="false" outlineLevel="0" collapsed="false">
      <c r="T620" s="34"/>
      <c r="U620" s="35"/>
      <c r="V620" s="12" t="n">
        <v>0.0125778124039275</v>
      </c>
      <c r="W620" s="12" t="n">
        <v>-0.0143906496789743</v>
      </c>
      <c r="X620" s="12" t="n">
        <f aca="false">PRODUCT(V620:W620)</f>
        <v>-0.000181002892032778</v>
      </c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</row>
    <row r="621" customFormat="false" ht="15" hidden="false" customHeight="false" outlineLevel="0" collapsed="false">
      <c r="T621" s="34"/>
      <c r="U621" s="35"/>
      <c r="V621" s="12" t="n">
        <v>0.00587632033539087</v>
      </c>
      <c r="W621" s="12" t="n">
        <v>0.0133219645627412</v>
      </c>
      <c r="X621" s="12" t="n">
        <f aca="false">PRODUCT(V621:W621)</f>
        <v>7.82841312673927E-005</v>
      </c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</row>
    <row r="622" customFormat="false" ht="15" hidden="false" customHeight="false" outlineLevel="0" collapsed="false">
      <c r="T622" s="34"/>
      <c r="U622" s="35"/>
      <c r="V622" s="12" t="n">
        <v>0.0191552298439781</v>
      </c>
      <c r="W622" s="12" t="n">
        <v>0.0210734575536815</v>
      </c>
      <c r="X622" s="12" t="n">
        <f aca="false">PRODUCT(V622:W622)</f>
        <v>0.000403666923048086</v>
      </c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</row>
    <row r="623" customFormat="false" ht="15" hidden="false" customHeight="false" outlineLevel="0" collapsed="false">
      <c r="T623" s="34"/>
      <c r="U623" s="35"/>
      <c r="V623" s="12" t="n">
        <v>-0.00185961774265309</v>
      </c>
      <c r="W623" s="12" t="n">
        <v>-0.0178708223779953</v>
      </c>
      <c r="X623" s="12" t="n">
        <f aca="false">PRODUCT(V623:W623)</f>
        <v>3.3232898369922E-005</v>
      </c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</row>
    <row r="624" customFormat="false" ht="15" hidden="false" customHeight="false" outlineLevel="0" collapsed="false">
      <c r="T624" s="34"/>
      <c r="U624" s="35"/>
      <c r="V624" s="12" t="n">
        <v>0.00132051302884406</v>
      </c>
      <c r="W624" s="12" t="n">
        <v>0.0177845984914615</v>
      </c>
      <c r="X624" s="12" t="n">
        <f aca="false">PRODUCT(V624:W624)</f>
        <v>2.34847940207353E-005</v>
      </c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</row>
    <row r="625" customFormat="false" ht="15" hidden="false" customHeight="false" outlineLevel="0" collapsed="false">
      <c r="T625" s="34"/>
      <c r="U625" s="35"/>
      <c r="V625" s="12" t="n">
        <v>-0.0088142461366818</v>
      </c>
      <c r="W625" s="12" t="n">
        <v>-0.0216478748906477</v>
      </c>
      <c r="X625" s="12" t="n">
        <f aca="false">PRODUCT(V625:W625)</f>
        <v>0.000190809697622262</v>
      </c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</row>
    <row r="626" customFormat="false" ht="15" hidden="false" customHeight="false" outlineLevel="0" collapsed="false">
      <c r="T626" s="34"/>
      <c r="U626" s="35"/>
      <c r="V626" s="12" t="n">
        <v>-0.0161390405846671</v>
      </c>
      <c r="W626" s="12" t="n">
        <v>-0.0286147853389247</v>
      </c>
      <c r="X626" s="12" t="n">
        <f aca="false">PRODUCT(V626:W626)</f>
        <v>0.000461815181906443</v>
      </c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</row>
    <row r="627" customFormat="false" ht="15" hidden="false" customHeight="false" outlineLevel="0" collapsed="false">
      <c r="T627" s="34"/>
      <c r="U627" s="35"/>
      <c r="V627" s="12" t="n">
        <v>-0.022503021563514</v>
      </c>
      <c r="W627" s="12" t="n">
        <v>-0.0218560027953805</v>
      </c>
      <c r="X627" s="12" t="n">
        <f aca="false">PRODUCT(V627:W627)</f>
        <v>0.00049182610219667</v>
      </c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</row>
    <row r="628" customFormat="false" ht="15" hidden="false" customHeight="false" outlineLevel="0" collapsed="false">
      <c r="T628" s="34"/>
      <c r="U628" s="35"/>
      <c r="V628" s="12" t="n">
        <v>0.0156093186592727</v>
      </c>
      <c r="W628" s="12" t="n">
        <v>0.0103262073457326</v>
      </c>
      <c r="X628" s="12" t="n">
        <f aca="false">PRODUCT(V628:W628)</f>
        <v>0.000161185061001263</v>
      </c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</row>
    <row r="629" customFormat="false" ht="15" hidden="false" customHeight="false" outlineLevel="0" collapsed="false">
      <c r="T629" s="34"/>
      <c r="U629" s="35"/>
      <c r="V629" s="12" t="n">
        <v>0.000848385464056634</v>
      </c>
      <c r="W629" s="12" t="n">
        <v>0.00257151131212385</v>
      </c>
      <c r="X629" s="12" t="n">
        <f aca="false">PRODUCT(V629:W629)</f>
        <v>2.18163281786308E-006</v>
      </c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</row>
    <row r="630" customFormat="false" ht="15" hidden="false" customHeight="false" outlineLevel="0" collapsed="false">
      <c r="T630" s="34"/>
      <c r="U630" s="35"/>
      <c r="V630" s="12" t="n">
        <v>0.00883810822235986</v>
      </c>
      <c r="W630" s="12" t="n">
        <v>0.000836114988385539</v>
      </c>
      <c r="X630" s="12" t="n">
        <f aca="false">PRODUCT(V630:W630)</f>
        <v>7.38967475368855E-006</v>
      </c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</row>
    <row r="631" customFormat="false" ht="15" hidden="false" customHeight="false" outlineLevel="0" collapsed="false">
      <c r="T631" s="34"/>
      <c r="U631" s="35"/>
      <c r="V631" s="12" t="n">
        <v>0.0109481594253484</v>
      </c>
      <c r="W631" s="12" t="n">
        <v>-0.0121397545506108</v>
      </c>
      <c r="X631" s="12" t="n">
        <f aca="false">PRODUCT(V631:W631)</f>
        <v>-0.000132907968204686</v>
      </c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</row>
    <row r="632" customFormat="false" ht="15" hidden="false" customHeight="false" outlineLevel="0" collapsed="false">
      <c r="T632" s="34"/>
      <c r="U632" s="35"/>
      <c r="V632" s="12" t="n">
        <v>0.0130707882223309</v>
      </c>
      <c r="W632" s="12" t="n">
        <v>0.025391167046199</v>
      </c>
      <c r="X632" s="12" t="n">
        <f aca="false">PRODUCT(V632:W632)</f>
        <v>0.000331882567178694</v>
      </c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</row>
    <row r="633" customFormat="false" ht="15" hidden="false" customHeight="false" outlineLevel="0" collapsed="false">
      <c r="T633" s="34"/>
      <c r="U633" s="35"/>
      <c r="V633" s="12" t="n">
        <v>-0.0156128593145617</v>
      </c>
      <c r="W633" s="12" t="n">
        <v>-0.00289730895093854</v>
      </c>
      <c r="X633" s="12" t="n">
        <f aca="false">PRODUCT(V633:W633)</f>
        <v>4.52352770418238E-005</v>
      </c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</row>
    <row r="634" customFormat="false" ht="15" hidden="false" customHeight="false" outlineLevel="0" collapsed="false">
      <c r="T634" s="34"/>
      <c r="U634" s="35"/>
      <c r="V634" s="12" t="n">
        <v>-0.00687206366679583</v>
      </c>
      <c r="W634" s="12" t="n">
        <v>0.00144002452907444</v>
      </c>
      <c r="X634" s="12" t="n">
        <f aca="false">PRODUCT(V634:W634)</f>
        <v>-9.89594024554723E-006</v>
      </c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</row>
    <row r="635" customFormat="false" ht="15" hidden="false" customHeight="false" outlineLevel="0" collapsed="false">
      <c r="T635" s="34"/>
      <c r="U635" s="35"/>
      <c r="V635" s="12" t="n">
        <v>-0.0164424367373641</v>
      </c>
      <c r="W635" s="12" t="n">
        <v>-0.00207998317985236</v>
      </c>
      <c r="X635" s="12" t="n">
        <f aca="false">PRODUCT(V635:W635)</f>
        <v>3.41999918495039E-005</v>
      </c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</row>
    <row r="636" customFormat="false" ht="15" hidden="false" customHeight="false" outlineLevel="0" collapsed="false">
      <c r="T636" s="34"/>
      <c r="U636" s="35"/>
      <c r="V636" s="13" t="n">
        <f aca="false" t="array" ref="V636:V661">'Data Gathering and ect'!F348:F373</f>
        <v>0.0156543920092478</v>
      </c>
      <c r="W636" s="13" t="n">
        <f aca="false" t="array" ref="W636:W661">'Data Gathering and ect'!F285:F310</f>
        <v>-0.0309496997724894</v>
      </c>
      <c r="X636" s="13" t="n">
        <f aca="false">PRODUCT(V636:W636)</f>
        <v>-0.000484498732807077</v>
      </c>
      <c r="Y636" s="56" t="n">
        <f aca="false">SUM(V636:V661)</f>
        <v>-0.249338051904321</v>
      </c>
      <c r="Z636" s="56" t="n">
        <f aca="false">SUM(W636:W661)</f>
        <v>-0.12670417074293</v>
      </c>
      <c r="AA636" s="56" t="n">
        <f aca="false">SUM(X636:X661)</f>
        <v>0.076706572857567</v>
      </c>
      <c r="AB636" s="56" t="n">
        <f aca="false">Y636*Z636</f>
        <v>0.0315921711011946</v>
      </c>
      <c r="AC636" s="57" t="n">
        <f aca="false">COUNT(V636:V661)</f>
        <v>26</v>
      </c>
      <c r="AD636" s="56" t="n">
        <f aca="false" t="array" ref="AD636:AD636">SUM(POWER(V636:V661,2))</f>
        <v>0.109481364943174</v>
      </c>
      <c r="AE636" s="56" t="n">
        <f aca="false" t="array" ref="AE636:AE636">SUM(POWER(W636:W661,2))</f>
        <v>0.0672744582728849</v>
      </c>
      <c r="AF636" s="56" t="n">
        <f aca="false">(AA636*AC636)-(AB636)</f>
        <v>1.96277872319555</v>
      </c>
      <c r="AG636" s="56" t="n">
        <f aca="false">(AC636*AD636)-(POWER(Y636,2))</f>
        <v>2.78434602439508</v>
      </c>
      <c r="AH636" s="56" t="n">
        <f aca="false">(AC636*AE636)-(POWER(Z636,2))</f>
        <v>1.73308196821135</v>
      </c>
      <c r="AI636" s="56" t="n">
        <f aca="false">SQRT(AG636*AH636)</f>
        <v>2.19670204810304</v>
      </c>
      <c r="AJ636" s="56" t="n">
        <f aca="false">AF636 / AI636</f>
        <v>0.893511582460856</v>
      </c>
    </row>
    <row r="637" customFormat="false" ht="15" hidden="false" customHeight="false" outlineLevel="0" collapsed="false">
      <c r="T637" s="34"/>
      <c r="U637" s="35"/>
      <c r="V637" s="13" t="n">
        <v>-0.0152770401967075</v>
      </c>
      <c r="W637" s="13" t="n">
        <v>0.0170873116037891</v>
      </c>
      <c r="X637" s="13" t="n">
        <f aca="false">PRODUCT(V637:W637)</f>
        <v>-0.000261043546224753</v>
      </c>
      <c r="Y637" s="56"/>
      <c r="Z637" s="56"/>
      <c r="AA637" s="56"/>
      <c r="AB637" s="56"/>
      <c r="AC637" s="57"/>
      <c r="AD637" s="56"/>
      <c r="AE637" s="56"/>
      <c r="AF637" s="56"/>
      <c r="AG637" s="56"/>
      <c r="AH637" s="56"/>
      <c r="AI637" s="56"/>
      <c r="AJ637" s="56"/>
    </row>
    <row r="638" customFormat="false" ht="15" hidden="false" customHeight="false" outlineLevel="0" collapsed="false">
      <c r="T638" s="34"/>
      <c r="U638" s="35"/>
      <c r="V638" s="13" t="n">
        <v>-0.00441939777758016</v>
      </c>
      <c r="W638" s="13" t="n">
        <v>0.00532937018097535</v>
      </c>
      <c r="X638" s="13" t="n">
        <f aca="false">PRODUCT(V638:W638)</f>
        <v>-2.35526067337044E-005</v>
      </c>
      <c r="Y638" s="56"/>
      <c r="Z638" s="56"/>
      <c r="AA638" s="56"/>
      <c r="AB638" s="56"/>
      <c r="AC638" s="57"/>
      <c r="AD638" s="56"/>
      <c r="AE638" s="56"/>
      <c r="AF638" s="56"/>
      <c r="AG638" s="56"/>
      <c r="AH638" s="56"/>
      <c r="AI638" s="56"/>
      <c r="AJ638" s="56"/>
    </row>
    <row r="639" customFormat="false" ht="15" hidden="false" customHeight="false" outlineLevel="0" collapsed="false">
      <c r="T639" s="34"/>
      <c r="U639" s="35"/>
      <c r="V639" s="13" t="n">
        <v>-0.000997925288084289</v>
      </c>
      <c r="W639" s="13" t="n">
        <v>-0.00146193131466177</v>
      </c>
      <c r="X639" s="13" t="n">
        <f aca="false">PRODUCT(V639:W639)</f>
        <v>1.45889822834329E-006</v>
      </c>
      <c r="Y639" s="56"/>
      <c r="Z639" s="56"/>
      <c r="AA639" s="56"/>
      <c r="AB639" s="56"/>
      <c r="AC639" s="57"/>
      <c r="AD639" s="56"/>
      <c r="AE639" s="56"/>
      <c r="AF639" s="56"/>
      <c r="AG639" s="56"/>
      <c r="AH639" s="56"/>
      <c r="AI639" s="56"/>
      <c r="AJ639" s="56"/>
    </row>
    <row r="640" customFormat="false" ht="15" hidden="false" customHeight="false" outlineLevel="0" collapsed="false">
      <c r="T640" s="34"/>
      <c r="U640" s="35"/>
      <c r="V640" s="13" t="n">
        <v>0.00520901689469611</v>
      </c>
      <c r="W640" s="13" t="n">
        <v>0.0105056563841943</v>
      </c>
      <c r="X640" s="13" t="n">
        <f aca="false">PRODUCT(V640:W640)</f>
        <v>5.47241415951402E-005</v>
      </c>
      <c r="Y640" s="56"/>
      <c r="Z640" s="56"/>
      <c r="AA640" s="56"/>
      <c r="AB640" s="56"/>
      <c r="AC640" s="57"/>
      <c r="AD640" s="56"/>
      <c r="AE640" s="56"/>
      <c r="AF640" s="56"/>
      <c r="AG640" s="56"/>
      <c r="AH640" s="56"/>
      <c r="AI640" s="56"/>
      <c r="AJ640" s="56"/>
    </row>
    <row r="641" customFormat="false" ht="15" hidden="false" customHeight="false" outlineLevel="0" collapsed="false">
      <c r="T641" s="34"/>
      <c r="U641" s="35"/>
      <c r="V641" s="13" t="n">
        <v>0.000488630175269122</v>
      </c>
      <c r="W641" s="13" t="n">
        <v>0.005407805169094</v>
      </c>
      <c r="X641" s="13" t="n">
        <f aca="false">PRODUCT(V641:W641)</f>
        <v>2.64241678759567E-006</v>
      </c>
      <c r="Y641" s="56"/>
      <c r="Z641" s="56"/>
      <c r="AA641" s="56"/>
      <c r="AB641" s="56"/>
      <c r="AC641" s="57"/>
      <c r="AD641" s="56"/>
      <c r="AE641" s="56"/>
      <c r="AF641" s="56"/>
      <c r="AG641" s="56"/>
      <c r="AH641" s="56"/>
      <c r="AI641" s="56"/>
      <c r="AJ641" s="56"/>
    </row>
    <row r="642" customFormat="false" ht="15" hidden="false" customHeight="false" outlineLevel="0" collapsed="false">
      <c r="T642" s="34"/>
      <c r="U642" s="35"/>
      <c r="V642" s="13" t="n">
        <v>-0.0211588830495266</v>
      </c>
      <c r="W642" s="13" t="n">
        <v>0.00535953688294111</v>
      </c>
      <c r="X642" s="13" t="n">
        <f aca="false">PRODUCT(V642:W642)</f>
        <v>-0.000113401814105775</v>
      </c>
      <c r="Y642" s="56"/>
      <c r="Z642" s="56"/>
      <c r="AA642" s="56"/>
      <c r="AB642" s="56"/>
      <c r="AC642" s="57"/>
      <c r="AD642" s="56"/>
      <c r="AE642" s="56"/>
      <c r="AF642" s="56"/>
      <c r="AG642" s="56"/>
      <c r="AH642" s="56"/>
      <c r="AI642" s="56"/>
      <c r="AJ642" s="56"/>
    </row>
    <row r="643" customFormat="false" ht="15" hidden="false" customHeight="false" outlineLevel="0" collapsed="false">
      <c r="T643" s="34"/>
      <c r="U643" s="35"/>
      <c r="V643" s="13" t="n">
        <v>-0.0171658737065741</v>
      </c>
      <c r="W643" s="13" t="n">
        <v>-0.0124556083581471</v>
      </c>
      <c r="X643" s="13" t="n">
        <f aca="false">PRODUCT(V643:W643)</f>
        <v>0.000213811400014502</v>
      </c>
      <c r="Y643" s="56"/>
      <c r="Z643" s="56"/>
      <c r="AA643" s="56"/>
      <c r="AB643" s="56"/>
      <c r="AC643" s="57"/>
      <c r="AD643" s="56"/>
      <c r="AE643" s="56"/>
      <c r="AF643" s="56"/>
      <c r="AG643" s="56"/>
      <c r="AH643" s="56"/>
      <c r="AI643" s="56"/>
      <c r="AJ643" s="56"/>
    </row>
    <row r="644" customFormat="false" ht="15" hidden="false" customHeight="false" outlineLevel="0" collapsed="false">
      <c r="T644" s="34"/>
      <c r="U644" s="35"/>
      <c r="V644" s="13" t="n">
        <v>-0.0629107928451944</v>
      </c>
      <c r="W644" s="13" t="n">
        <v>-0.046037362921882</v>
      </c>
      <c r="X644" s="13" t="n">
        <f aca="false">PRODUCT(V644:W644)</f>
        <v>0.00289624700191755</v>
      </c>
      <c r="Y644" s="56"/>
      <c r="Z644" s="56"/>
      <c r="AA644" s="56"/>
      <c r="AB644" s="56"/>
      <c r="AC644" s="57"/>
      <c r="AD644" s="56"/>
      <c r="AE644" s="56"/>
      <c r="AF644" s="56"/>
      <c r="AG644" s="56"/>
      <c r="AH644" s="56"/>
      <c r="AI644" s="56"/>
      <c r="AJ644" s="56"/>
    </row>
    <row r="645" customFormat="false" ht="15" hidden="false" customHeight="false" outlineLevel="0" collapsed="false">
      <c r="T645" s="34"/>
      <c r="U645" s="35"/>
      <c r="V645" s="13" t="n">
        <v>0.0349877783745267</v>
      </c>
      <c r="W645" s="13" t="n">
        <v>0.0186101548656223</v>
      </c>
      <c r="X645" s="13" t="n">
        <f aca="false">PRODUCT(V645:W645)</f>
        <v>0.000651127973954013</v>
      </c>
      <c r="Y645" s="56"/>
      <c r="Z645" s="56"/>
      <c r="AA645" s="56"/>
      <c r="AB645" s="56"/>
      <c r="AC645" s="57"/>
      <c r="AD645" s="56"/>
      <c r="AE645" s="56"/>
      <c r="AF645" s="56"/>
      <c r="AG645" s="56"/>
      <c r="AH645" s="56"/>
      <c r="AI645" s="56"/>
      <c r="AJ645" s="56"/>
    </row>
    <row r="646" customFormat="false" ht="15" hidden="false" customHeight="false" outlineLevel="0" collapsed="false">
      <c r="T646" s="34"/>
      <c r="U646" s="35"/>
      <c r="V646" s="13" t="n">
        <v>-0.0132470922217287</v>
      </c>
      <c r="W646" s="13" t="n">
        <v>-0.0425251881278683</v>
      </c>
      <c r="X646" s="13" t="n">
        <f aca="false">PRODUCT(V646:W646)</f>
        <v>0.000563335088876234</v>
      </c>
      <c r="Y646" s="56"/>
      <c r="Z646" s="56"/>
      <c r="AA646" s="56"/>
      <c r="AB646" s="56"/>
      <c r="AC646" s="57"/>
      <c r="AD646" s="56"/>
      <c r="AE646" s="56"/>
      <c r="AF646" s="56"/>
      <c r="AG646" s="56"/>
      <c r="AH646" s="56"/>
      <c r="AI646" s="56"/>
      <c r="AJ646" s="56"/>
    </row>
    <row r="647" customFormat="false" ht="15" hidden="false" customHeight="false" outlineLevel="0" collapsed="false">
      <c r="T647" s="34"/>
      <c r="U647" s="35"/>
      <c r="V647" s="13" t="n">
        <v>0.0234066299112286</v>
      </c>
      <c r="W647" s="13" t="n">
        <v>0.00312639980696439</v>
      </c>
      <c r="X647" s="13" t="n">
        <f aca="false">PRODUCT(V647:W647)</f>
        <v>7.3178483236152E-005</v>
      </c>
      <c r="Y647" s="56"/>
      <c r="Z647" s="56"/>
      <c r="AA647" s="56"/>
      <c r="AB647" s="56"/>
      <c r="AC647" s="57"/>
      <c r="AD647" s="56"/>
      <c r="AE647" s="56"/>
      <c r="AF647" s="56"/>
      <c r="AG647" s="56"/>
      <c r="AH647" s="56"/>
      <c r="AI647" s="56"/>
      <c r="AJ647" s="56"/>
    </row>
    <row r="648" customFormat="false" ht="15" hidden="false" customHeight="false" outlineLevel="0" collapsed="false">
      <c r="T648" s="34"/>
      <c r="U648" s="35"/>
      <c r="V648" s="13" t="n">
        <v>-0.0855493687361619</v>
      </c>
      <c r="W648" s="13" t="n">
        <v>-0.0668515324706265</v>
      </c>
      <c r="X648" s="13" t="n">
        <f aca="false">PRODUCT(V648:W648)</f>
        <v>0.00571910640190713</v>
      </c>
      <c r="Y648" s="56"/>
      <c r="Z648" s="56"/>
      <c r="AA648" s="56"/>
      <c r="AB648" s="56"/>
      <c r="AC648" s="57"/>
      <c r="AD648" s="56"/>
      <c r="AE648" s="56"/>
      <c r="AF648" s="56"/>
      <c r="AG648" s="56"/>
      <c r="AH648" s="56"/>
      <c r="AI648" s="56"/>
      <c r="AJ648" s="56"/>
    </row>
    <row r="649" customFormat="false" ht="15" hidden="false" customHeight="false" outlineLevel="0" collapsed="false">
      <c r="T649" s="34"/>
      <c r="U649" s="35"/>
      <c r="V649" s="13" t="n">
        <v>-0.00223882856733404</v>
      </c>
      <c r="W649" s="13" t="n">
        <v>-0.015541417689751</v>
      </c>
      <c r="X649" s="13" t="n">
        <f aca="false">PRODUCT(V649:W649)</f>
        <v>3.47945699006851E-005</v>
      </c>
      <c r="Y649" s="56"/>
      <c r="Z649" s="56"/>
      <c r="AA649" s="56"/>
      <c r="AB649" s="56"/>
      <c r="AC649" s="57"/>
      <c r="AD649" s="56"/>
      <c r="AE649" s="56"/>
      <c r="AF649" s="56"/>
      <c r="AG649" s="56"/>
      <c r="AH649" s="56"/>
      <c r="AI649" s="56"/>
      <c r="AJ649" s="56"/>
    </row>
    <row r="650" customFormat="false" ht="15" hidden="false" customHeight="false" outlineLevel="0" collapsed="false">
      <c r="T650" s="34"/>
      <c r="U650" s="35"/>
      <c r="V650" s="13" t="n">
        <v>-0.153092839402529</v>
      </c>
      <c r="W650" s="13" t="n">
        <v>-0.113641990653887</v>
      </c>
      <c r="X650" s="13" t="n">
        <f aca="false">PRODUCT(V650:W650)</f>
        <v>0.0173977750245592</v>
      </c>
      <c r="Y650" s="56"/>
      <c r="Z650" s="56"/>
      <c r="AA650" s="56"/>
      <c r="AB650" s="56"/>
      <c r="AC650" s="57"/>
      <c r="AD650" s="56"/>
      <c r="AE650" s="56"/>
      <c r="AF650" s="56"/>
      <c r="AG650" s="56"/>
      <c r="AH650" s="56"/>
      <c r="AI650" s="56"/>
      <c r="AJ650" s="56"/>
    </row>
    <row r="651" customFormat="false" ht="15" hidden="false" customHeight="false" outlineLevel="0" collapsed="false">
      <c r="T651" s="34"/>
      <c r="U651" s="35"/>
      <c r="V651" s="13" t="n">
        <v>-0.209328580913109</v>
      </c>
      <c r="W651" s="13" t="n">
        <v>-0.134926521936364</v>
      </c>
      <c r="X651" s="13" t="n">
        <f aca="false">PRODUCT(V651:W651)</f>
        <v>0.0282439773644806</v>
      </c>
      <c r="Y651" s="56"/>
      <c r="Z651" s="56"/>
      <c r="AA651" s="56"/>
      <c r="AB651" s="56"/>
      <c r="AC651" s="57"/>
      <c r="AD651" s="56"/>
      <c r="AE651" s="56"/>
      <c r="AF651" s="56"/>
      <c r="AG651" s="56"/>
      <c r="AH651" s="56"/>
      <c r="AI651" s="56"/>
      <c r="AJ651" s="56"/>
    </row>
    <row r="652" customFormat="false" ht="15" hidden="false" customHeight="false" outlineLevel="0" collapsed="false">
      <c r="T652" s="34"/>
      <c r="U652" s="35"/>
      <c r="V652" s="13" t="n">
        <v>0.110959430554681</v>
      </c>
      <c r="W652" s="13" t="n">
        <v>0.126181836462973</v>
      </c>
      <c r="X652" s="13" t="n">
        <f aca="false">PRODUCT(V652:W652)</f>
        <v>0.0140010647202754</v>
      </c>
      <c r="Y652" s="56"/>
      <c r="Z652" s="56"/>
      <c r="AA652" s="56"/>
      <c r="AB652" s="56"/>
      <c r="AC652" s="57"/>
      <c r="AD652" s="56"/>
      <c r="AE652" s="56"/>
      <c r="AF652" s="56"/>
      <c r="AG652" s="56"/>
      <c r="AH652" s="56"/>
      <c r="AI652" s="56"/>
      <c r="AJ652" s="56"/>
    </row>
    <row r="653" customFormat="false" ht="15" hidden="false" customHeight="false" outlineLevel="0" collapsed="false">
      <c r="T653" s="34"/>
      <c r="U653" s="35"/>
      <c r="V653" s="13" t="n">
        <v>0.0237164245191437</v>
      </c>
      <c r="W653" s="13" t="n">
        <v>0.00983031114018562</v>
      </c>
      <c r="X653" s="13" t="n">
        <f aca="false">PRODUCT(V653:W653)</f>
        <v>0.00023313983215591</v>
      </c>
      <c r="Y653" s="56"/>
      <c r="Z653" s="56"/>
      <c r="AA653" s="56"/>
      <c r="AB653" s="56"/>
      <c r="AC653" s="57"/>
      <c r="AD653" s="56"/>
      <c r="AE653" s="56"/>
      <c r="AF653" s="56"/>
      <c r="AG653" s="56"/>
      <c r="AH653" s="56"/>
      <c r="AI653" s="56"/>
      <c r="AJ653" s="56"/>
    </row>
    <row r="654" customFormat="false" ht="15" hidden="false" customHeight="false" outlineLevel="0" collapsed="false">
      <c r="T654" s="34"/>
      <c r="U654" s="35"/>
      <c r="V654" s="13" t="n">
        <v>0.0455280824270385</v>
      </c>
      <c r="W654" s="13" t="n">
        <v>0.02765673092855</v>
      </c>
      <c r="X654" s="13" t="n">
        <f aca="false">PRODUCT(V654:W654)</f>
        <v>0.00125915792537745</v>
      </c>
      <c r="Y654" s="56"/>
      <c r="Z654" s="56"/>
      <c r="AA654" s="56"/>
      <c r="AB654" s="56"/>
      <c r="AC654" s="57"/>
      <c r="AD654" s="56"/>
      <c r="AE654" s="56"/>
      <c r="AF654" s="56"/>
      <c r="AG654" s="56"/>
      <c r="AH654" s="56"/>
      <c r="AI654" s="56"/>
      <c r="AJ654" s="56"/>
    </row>
    <row r="655" customFormat="false" ht="15" hidden="false" customHeight="false" outlineLevel="0" collapsed="false">
      <c r="T655" s="34"/>
      <c r="U655" s="35"/>
      <c r="V655" s="13" t="n">
        <v>0.0393077065288061</v>
      </c>
      <c r="W655" s="13" t="n">
        <v>0.0577018945838441</v>
      </c>
      <c r="X655" s="13" t="n">
        <f aca="false">PRODUCT(V655:W655)</f>
        <v>0.00226812913845785</v>
      </c>
      <c r="Y655" s="56"/>
      <c r="Z655" s="56"/>
      <c r="AA655" s="56"/>
      <c r="AB655" s="56"/>
      <c r="AC655" s="57"/>
      <c r="AD655" s="56"/>
      <c r="AE655" s="56"/>
      <c r="AF655" s="56"/>
      <c r="AG655" s="56"/>
      <c r="AH655" s="56"/>
      <c r="AI655" s="56"/>
      <c r="AJ655" s="56"/>
    </row>
    <row r="656" customFormat="false" ht="15" hidden="false" customHeight="false" outlineLevel="0" collapsed="false">
      <c r="T656" s="34"/>
      <c r="U656" s="35"/>
      <c r="V656" s="13" t="n">
        <v>-0.0667197228925254</v>
      </c>
      <c r="W656" s="13" t="n">
        <v>0.00441549451502432</v>
      </c>
      <c r="X656" s="13" t="n">
        <f aca="false">PRODUCT(V656:W656)</f>
        <v>-0.000294600570475888</v>
      </c>
      <c r="Y656" s="56"/>
      <c r="Z656" s="56"/>
      <c r="AA656" s="56"/>
      <c r="AB656" s="56"/>
      <c r="AC656" s="57"/>
      <c r="AD656" s="56"/>
      <c r="AE656" s="56"/>
      <c r="AF656" s="56"/>
      <c r="AG656" s="56"/>
      <c r="AH656" s="56"/>
      <c r="AI656" s="56"/>
      <c r="AJ656" s="56"/>
    </row>
    <row r="657" customFormat="false" ht="15" hidden="false" customHeight="false" outlineLevel="0" collapsed="false">
      <c r="T657" s="34"/>
      <c r="U657" s="35"/>
      <c r="V657" s="13" t="n">
        <v>0.0334725971174805</v>
      </c>
      <c r="W657" s="13" t="n">
        <v>0.0547925509417428</v>
      </c>
      <c r="X657" s="13" t="n">
        <f aca="false">PRODUCT(V657:W657)</f>
        <v>0.00183404898271198</v>
      </c>
      <c r="Y657" s="56"/>
      <c r="Z657" s="56"/>
      <c r="AA657" s="56"/>
      <c r="AB657" s="56"/>
      <c r="AC657" s="57"/>
      <c r="AD657" s="56"/>
      <c r="AE657" s="56"/>
      <c r="AF657" s="56"/>
      <c r="AG657" s="56"/>
      <c r="AH657" s="56"/>
      <c r="AI657" s="56"/>
      <c r="AJ657" s="56"/>
    </row>
    <row r="658" customFormat="false" ht="15" hidden="false" customHeight="false" outlineLevel="0" collapsed="false">
      <c r="T658" s="34"/>
      <c r="U658" s="35"/>
      <c r="V658" s="13" t="n">
        <v>-0.00217034976892982</v>
      </c>
      <c r="W658" s="13" t="n">
        <v>-0.0379351995026553</v>
      </c>
      <c r="X658" s="13" t="n">
        <f aca="false">PRODUCT(V658:W658)</f>
        <v>8.23326514748946E-005</v>
      </c>
      <c r="Y658" s="56"/>
      <c r="Z658" s="56"/>
      <c r="AA658" s="56"/>
      <c r="AB658" s="56"/>
      <c r="AC658" s="57"/>
      <c r="AD658" s="56"/>
      <c r="AE658" s="56"/>
      <c r="AF658" s="56"/>
      <c r="AG658" s="56"/>
      <c r="AH658" s="56"/>
      <c r="AI658" s="56"/>
      <c r="AJ658" s="56"/>
    </row>
    <row r="659" customFormat="false" ht="15" hidden="false" customHeight="false" outlineLevel="0" collapsed="false">
      <c r="T659" s="34"/>
      <c r="U659" s="35"/>
      <c r="V659" s="13" t="n">
        <v>-0.0173542650642524</v>
      </c>
      <c r="W659" s="13" t="n">
        <v>-0.00655362034947515</v>
      </c>
      <c r="X659" s="13" t="n">
        <f aca="false">PRODUCT(V659:W659)</f>
        <v>0.00011373326467527</v>
      </c>
      <c r="Y659" s="56"/>
      <c r="Z659" s="56"/>
      <c r="AA659" s="56"/>
      <c r="AB659" s="56"/>
      <c r="AC659" s="57"/>
      <c r="AD659" s="56"/>
      <c r="AE659" s="56"/>
      <c r="AF659" s="56"/>
      <c r="AG659" s="56"/>
      <c r="AH659" s="56"/>
      <c r="AI659" s="56"/>
      <c r="AJ659" s="56"/>
    </row>
    <row r="660" customFormat="false" ht="15" hidden="false" customHeight="false" outlineLevel="0" collapsed="false">
      <c r="T660" s="34"/>
      <c r="U660" s="35"/>
      <c r="V660" s="13" t="n">
        <v>0.0188299474502944</v>
      </c>
      <c r="W660" s="13" t="n">
        <v>0.00613771145021413</v>
      </c>
      <c r="X660" s="13" t="n">
        <f aca="false">PRODUCT(V660:W660)</f>
        <v>0.000115572784072602</v>
      </c>
      <c r="Y660" s="56"/>
      <c r="Z660" s="56"/>
      <c r="AA660" s="56"/>
      <c r="AB660" s="56"/>
      <c r="AC660" s="57"/>
      <c r="AD660" s="56"/>
      <c r="AE660" s="56"/>
      <c r="AF660" s="56"/>
      <c r="AG660" s="56"/>
      <c r="AH660" s="56"/>
      <c r="AI660" s="56"/>
      <c r="AJ660" s="56"/>
    </row>
    <row r="661" customFormat="false" ht="15" hidden="false" customHeight="false" outlineLevel="0" collapsed="false">
      <c r="T661" s="34"/>
      <c r="U661" s="35"/>
      <c r="V661" s="13" t="n">
        <v>0.0707322725635038</v>
      </c>
      <c r="W661" s="13" t="n">
        <v>0.030033137438763</v>
      </c>
      <c r="X661" s="13" t="n">
        <f aca="false">PRODUCT(V661:W661)</f>
        <v>0.00212431206325576</v>
      </c>
      <c r="Y661" s="56"/>
      <c r="Z661" s="56"/>
      <c r="AA661" s="56"/>
      <c r="AB661" s="56"/>
      <c r="AC661" s="57"/>
      <c r="AD661" s="56"/>
      <c r="AE661" s="56"/>
      <c r="AF661" s="56"/>
      <c r="AG661" s="56"/>
      <c r="AH661" s="56"/>
      <c r="AI661" s="56"/>
      <c r="AJ661" s="56"/>
    </row>
    <row r="662" customFormat="false" ht="15" hidden="false" customHeight="false" outlineLevel="0" collapsed="false">
      <c r="T662" s="66" t="s">
        <v>25</v>
      </c>
      <c r="U662" s="35" t="s">
        <v>26</v>
      </c>
      <c r="V662" s="12" t="n">
        <f aca="false" t="array" ref="V662:V682">'Data Gathering and ect'!F137:F157</f>
        <v>-0.0165751114762571</v>
      </c>
      <c r="W662" s="12" t="n">
        <f aca="false" t="array" ref="W662:W682">'Data Gathering and ect'!F264:F284</f>
        <v>-0.00118608226195693</v>
      </c>
      <c r="X662" s="12" t="n">
        <f aca="false">PRODUCT(V662:W662)</f>
        <v>1.96594457119473E-005</v>
      </c>
      <c r="Y662" s="43" t="n">
        <f aca="false">SUM(V662:V682)</f>
        <v>-0.203461465269248</v>
      </c>
      <c r="Z662" s="43" t="n">
        <f aca="false">SUM(W662:W682)</f>
        <v>-0.0920906649431618</v>
      </c>
      <c r="AA662" s="43" t="n">
        <f aca="false">SUM(X662:X682)</f>
        <v>0.00379938032958892</v>
      </c>
      <c r="AB662" s="43" t="n">
        <f aca="false">Y662*Z662</f>
        <v>0.0187369016269551</v>
      </c>
      <c r="AC662" s="43" t="n">
        <f aca="false">COUNT(V662:V682)</f>
        <v>21</v>
      </c>
      <c r="AD662" s="43" t="n">
        <f aca="false" t="array" ref="AD662:AD662">SUM(POWER(V662:V682,2))</f>
        <v>0.00851291255220964</v>
      </c>
      <c r="AE662" s="43" t="n">
        <f aca="false" t="array" ref="AE662:AE662">SUM(POWER(W662:W682,2))</f>
        <v>0.0052664797019935</v>
      </c>
      <c r="AF662" s="43" t="n">
        <f aca="false">(AA662*AC662)-(AB662)</f>
        <v>0.0610500852944123</v>
      </c>
      <c r="AG662" s="43" t="n">
        <f aca="false">(AC662*AD662)-(POWER(Y662,2))</f>
        <v>0.137374595746893</v>
      </c>
      <c r="AH662" s="43" t="n">
        <f aca="false">(AC662*AE662)-(POWER(Z662,2))</f>
        <v>0.10211538317219</v>
      </c>
      <c r="AI662" s="43" t="n">
        <f aca="false">SQRT(AG662*AH662)</f>
        <v>0.118440109265479</v>
      </c>
      <c r="AJ662" s="43" t="n">
        <f aca="false">AF662 / AI662</f>
        <v>0.51545110582067</v>
      </c>
    </row>
    <row r="663" customFormat="false" ht="15" hidden="false" customHeight="false" outlineLevel="0" collapsed="false">
      <c r="T663" s="66"/>
      <c r="U663" s="35"/>
      <c r="V663" s="12" t="n">
        <v>-0.00736726044012492</v>
      </c>
      <c r="W663" s="12" t="n">
        <v>-0.0070748304198176</v>
      </c>
      <c r="X663" s="12" t="n">
        <f aca="false">PRODUCT(V663:W663)</f>
        <v>5.21221182725146E-005</v>
      </c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</row>
    <row r="664" customFormat="false" ht="15" hidden="false" customHeight="false" outlineLevel="0" collapsed="false">
      <c r="T664" s="66"/>
      <c r="U664" s="35"/>
      <c r="V664" s="12" t="n">
        <v>-0.0204525945600373</v>
      </c>
      <c r="W664" s="12" t="n">
        <v>-0.0178849923137285</v>
      </c>
      <c r="X664" s="12" t="n">
        <f aca="false">PRODUCT(V664:W664)</f>
        <v>0.000365794496502072</v>
      </c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</row>
    <row r="665" customFormat="false" ht="15" hidden="false" customHeight="false" outlineLevel="0" collapsed="false">
      <c r="T665" s="66"/>
      <c r="U665" s="35"/>
      <c r="V665" s="12" t="n">
        <v>-0.00486105117769142</v>
      </c>
      <c r="W665" s="12" t="n">
        <v>-0.0237559486668291</v>
      </c>
      <c r="X665" s="12" t="n">
        <f aca="false">PRODUCT(V665:W665)</f>
        <v>0.000115478882244067</v>
      </c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</row>
    <row r="666" customFormat="false" ht="15" hidden="false" customHeight="false" outlineLevel="0" collapsed="false">
      <c r="T666" s="66"/>
      <c r="U666" s="35"/>
      <c r="V666" s="12" t="n">
        <v>-0.0547353984417978</v>
      </c>
      <c r="W666" s="12" t="n">
        <v>-0.0134366753469051</v>
      </c>
      <c r="X666" s="12" t="n">
        <f aca="false">PRODUCT(V666:W666)</f>
        <v>0.000735461778845932</v>
      </c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</row>
    <row r="667" customFormat="false" ht="15" hidden="false" customHeight="false" outlineLevel="0" collapsed="false">
      <c r="T667" s="66"/>
      <c r="U667" s="35"/>
      <c r="V667" s="12" t="n">
        <v>0.00370001424487398</v>
      </c>
      <c r="W667" s="12" t="n">
        <v>-0.0143906496789743</v>
      </c>
      <c r="X667" s="12" t="n">
        <f aca="false">PRODUCT(V667:W667)</f>
        <v>-5.32456088051961E-005</v>
      </c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</row>
    <row r="668" customFormat="false" ht="15" hidden="false" customHeight="false" outlineLevel="0" collapsed="false">
      <c r="T668" s="66"/>
      <c r="U668" s="35"/>
      <c r="V668" s="12" t="n">
        <v>0.0139810677216499</v>
      </c>
      <c r="W668" s="12" t="n">
        <v>0.0133219645627412</v>
      </c>
      <c r="X668" s="12" t="n">
        <f aca="false">PRODUCT(V668:W668)</f>
        <v>0.000186255288737105</v>
      </c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</row>
    <row r="669" customFormat="false" ht="15" hidden="false" customHeight="false" outlineLevel="0" collapsed="false">
      <c r="T669" s="66"/>
      <c r="U669" s="35"/>
      <c r="V669" s="12" t="n">
        <v>0.0116891668292016</v>
      </c>
      <c r="W669" s="12" t="n">
        <v>0.0210734575536815</v>
      </c>
      <c r="X669" s="12" t="n">
        <f aca="false">PRODUCT(V669:W669)</f>
        <v>0.000246331161013082</v>
      </c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</row>
    <row r="670" customFormat="false" ht="15" hidden="false" customHeight="false" outlineLevel="0" collapsed="false">
      <c r="T670" s="66"/>
      <c r="U670" s="35"/>
      <c r="V670" s="12" t="n">
        <v>-0.0191718528169549</v>
      </c>
      <c r="W670" s="12" t="n">
        <v>-0.0178708223779953</v>
      </c>
      <c r="X670" s="12" t="n">
        <f aca="false">PRODUCT(V670:W670)</f>
        <v>0.00034261677634887</v>
      </c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</row>
    <row r="671" customFormat="false" ht="15" hidden="false" customHeight="false" outlineLevel="0" collapsed="false">
      <c r="T671" s="66"/>
      <c r="U671" s="35"/>
      <c r="V671" s="12" t="n">
        <v>0.00884031632294757</v>
      </c>
      <c r="W671" s="12" t="n">
        <v>0.0177845984914615</v>
      </c>
      <c r="X671" s="12" t="n">
        <f aca="false">PRODUCT(V671:W671)</f>
        <v>0.000157221476341136</v>
      </c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</row>
    <row r="672" customFormat="false" ht="15" hidden="false" customHeight="false" outlineLevel="0" collapsed="false">
      <c r="T672" s="66"/>
      <c r="U672" s="35"/>
      <c r="V672" s="12" t="n">
        <v>-0.00665123850344251</v>
      </c>
      <c r="W672" s="12" t="n">
        <v>-0.0216478748906477</v>
      </c>
      <c r="X672" s="12" t="n">
        <f aca="false">PRODUCT(V672:W672)</f>
        <v>0.000143985178990382</v>
      </c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</row>
    <row r="673" customFormat="false" ht="15" hidden="false" customHeight="false" outlineLevel="0" collapsed="false">
      <c r="T673" s="66"/>
      <c r="U673" s="35"/>
      <c r="V673" s="12" t="n">
        <v>-0.0355662761910942</v>
      </c>
      <c r="W673" s="12" t="n">
        <v>-0.0286147853389247</v>
      </c>
      <c r="X673" s="12" t="n">
        <f aca="false">PRODUCT(V673:W673)</f>
        <v>0.00101772135851307</v>
      </c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</row>
    <row r="674" customFormat="false" ht="15" hidden="false" customHeight="false" outlineLevel="0" collapsed="false">
      <c r="T674" s="66"/>
      <c r="U674" s="35"/>
      <c r="V674" s="12" t="n">
        <v>-0.00755542964234834</v>
      </c>
      <c r="W674" s="12" t="n">
        <v>-0.0218560027953805</v>
      </c>
      <c r="X674" s="12" t="n">
        <f aca="false">PRODUCT(V674:W674)</f>
        <v>0.000165131491383466</v>
      </c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</row>
    <row r="675" customFormat="false" ht="15" hidden="false" customHeight="false" outlineLevel="0" collapsed="false">
      <c r="T675" s="66"/>
      <c r="U675" s="35"/>
      <c r="V675" s="12" t="n">
        <v>0.0189202907574124</v>
      </c>
      <c r="W675" s="12" t="n">
        <v>0.0103262073457326</v>
      </c>
      <c r="X675" s="12" t="n">
        <f aca="false">PRODUCT(V675:W675)</f>
        <v>0.000195374845402589</v>
      </c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</row>
    <row r="676" customFormat="false" ht="15" hidden="false" customHeight="false" outlineLevel="0" collapsed="false">
      <c r="T676" s="66"/>
      <c r="U676" s="35"/>
      <c r="V676" s="12" t="n">
        <v>-0.00322414644134916</v>
      </c>
      <c r="W676" s="12" t="n">
        <v>0.00257151131212385</v>
      </c>
      <c r="X676" s="12" t="n">
        <f aca="false">PRODUCT(V676:W676)</f>
        <v>-8.29092904587322E-006</v>
      </c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</row>
    <row r="677" customFormat="false" ht="15" hidden="false" customHeight="false" outlineLevel="0" collapsed="false">
      <c r="T677" s="66"/>
      <c r="U677" s="35"/>
      <c r="V677" s="12" t="n">
        <v>-0.0163826280142114</v>
      </c>
      <c r="W677" s="12" t="n">
        <v>0.000836114988385539</v>
      </c>
      <c r="X677" s="12" t="n">
        <f aca="false">PRODUCT(V677:W677)</f>
        <v>-1.3697760831827E-005</v>
      </c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</row>
    <row r="678" customFormat="false" ht="15" hidden="false" customHeight="false" outlineLevel="0" collapsed="false">
      <c r="T678" s="66"/>
      <c r="U678" s="35"/>
      <c r="V678" s="12" t="n">
        <v>8.30905482125388E-005</v>
      </c>
      <c r="W678" s="12" t="n">
        <v>-0.0121397545506108</v>
      </c>
      <c r="X678" s="12" t="n">
        <f aca="false">PRODUCT(V678:W678)</f>
        <v>-1.00869886077591E-006</v>
      </c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</row>
    <row r="679" customFormat="false" ht="15" hidden="false" customHeight="false" outlineLevel="0" collapsed="false">
      <c r="T679" s="66"/>
      <c r="U679" s="35"/>
      <c r="V679" s="12" t="n">
        <v>0.000705513872944152</v>
      </c>
      <c r="W679" s="12" t="n">
        <v>0.025391167046199</v>
      </c>
      <c r="X679" s="12" t="n">
        <f aca="false">PRODUCT(V679:W679)</f>
        <v>1.79138206013358E-005</v>
      </c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</row>
    <row r="680" customFormat="false" ht="15" hidden="false" customHeight="false" outlineLevel="0" collapsed="false">
      <c r="T680" s="66"/>
      <c r="U680" s="35"/>
      <c r="V680" s="12" t="n">
        <v>-0.0385239364907335</v>
      </c>
      <c r="W680" s="12" t="n">
        <v>-0.00289730895093854</v>
      </c>
      <c r="X680" s="12" t="n">
        <f aca="false">PRODUCT(V680:W680)</f>
        <v>0.00011161574601999</v>
      </c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</row>
    <row r="681" customFormat="false" ht="15" hidden="false" customHeight="false" outlineLevel="0" collapsed="false">
      <c r="T681" s="66"/>
      <c r="U681" s="35"/>
      <c r="V681" s="12" t="n">
        <v>-0.0170775622471133</v>
      </c>
      <c r="W681" s="12" t="n">
        <v>0.00144002452907444</v>
      </c>
      <c r="X681" s="12" t="n">
        <f aca="false">PRODUCT(V681:W681)</f>
        <v>-2.45921085326388E-005</v>
      </c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</row>
    <row r="682" customFormat="false" ht="15" hidden="false" customHeight="false" outlineLevel="0" collapsed="false">
      <c r="T682" s="66"/>
      <c r="U682" s="35"/>
      <c r="V682" s="12" t="n">
        <v>-0.0132364391233342</v>
      </c>
      <c r="W682" s="12" t="n">
        <v>-0.00207998317985236</v>
      </c>
      <c r="X682" s="12" t="n">
        <f aca="false">PRODUCT(V682:W682)</f>
        <v>2.75315707376749E-005</v>
      </c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</row>
    <row r="683" customFormat="false" ht="15" hidden="false" customHeight="false" outlineLevel="0" collapsed="false">
      <c r="T683" s="66"/>
      <c r="U683" s="35"/>
      <c r="V683" s="13" t="n">
        <f aca="false" t="array" ref="V683:V708">'Data Gathering and ect'!F158:F183</f>
        <v>-0.023361829288616</v>
      </c>
      <c r="W683" s="13" t="n">
        <f aca="false" t="array" ref="W683:W708">'Data Gathering and ect'!F285:F310</f>
        <v>-0.0309496997724894</v>
      </c>
      <c r="X683" s="13" t="n">
        <f aca="false">PRODUCT(V683:W683)</f>
        <v>0.000723041602618815</v>
      </c>
      <c r="Y683" s="56" t="n">
        <f aca="false">SUM(V683:V708)</f>
        <v>-0.291079031091748</v>
      </c>
      <c r="Z683" s="56" t="n">
        <f aca="false">SUM(W683:W708)</f>
        <v>-0.12670417074293</v>
      </c>
      <c r="AA683" s="56" t="n">
        <f aca="false">SUM(X683:X708)</f>
        <v>0.0629544552732489</v>
      </c>
      <c r="AB683" s="56" t="n">
        <f aca="false">Y683*Z683</f>
        <v>0.0368809272551355</v>
      </c>
      <c r="AC683" s="57" t="n">
        <f aca="false">COUNT(V683:V708)</f>
        <v>26</v>
      </c>
      <c r="AD683" s="56" t="n">
        <f aca="false" t="array" ref="AD683:AD683">SUM(POWER(V683:V708,2))</f>
        <v>0.089643219554737</v>
      </c>
      <c r="AE683" s="56" t="n">
        <f aca="false" t="array" ref="AE683:AE683">SUM(POWER(W683:W708,2))</f>
        <v>0.0672744582728849</v>
      </c>
      <c r="AF683" s="56" t="n">
        <f aca="false">(AA683*AC683)-(AB683)</f>
        <v>1.59993490984934</v>
      </c>
      <c r="AG683" s="56" t="n">
        <f aca="false">(AC683*AD683)-(POWER(Y683,2))</f>
        <v>2.24599670608185</v>
      </c>
      <c r="AH683" s="56" t="n">
        <f aca="false">(AC683*AE683)-(POWER(Z683,2))</f>
        <v>1.73308196821135</v>
      </c>
      <c r="AI683" s="56" t="n">
        <f aca="false">SQRT(AG683*AH683)</f>
        <v>1.97294105131718</v>
      </c>
      <c r="AJ683" s="56" t="n">
        <f aca="false">AF683 / AI683</f>
        <v>0.810939033774568</v>
      </c>
    </row>
    <row r="684" customFormat="false" ht="15" hidden="false" customHeight="false" outlineLevel="0" collapsed="false">
      <c r="T684" s="66"/>
      <c r="U684" s="35"/>
      <c r="V684" s="13" t="n">
        <v>0.0172900497344681</v>
      </c>
      <c r="W684" s="13" t="n">
        <v>0.0170873116037891</v>
      </c>
      <c r="X684" s="13" t="n">
        <f aca="false">PRODUCT(V684:W684)</f>
        <v>0.000295440467457867</v>
      </c>
      <c r="Y684" s="56"/>
      <c r="Z684" s="56"/>
      <c r="AA684" s="56"/>
      <c r="AB684" s="56"/>
      <c r="AC684" s="57"/>
      <c r="AD684" s="56"/>
      <c r="AE684" s="56"/>
      <c r="AF684" s="56"/>
      <c r="AG684" s="56"/>
      <c r="AH684" s="56"/>
      <c r="AI684" s="56"/>
      <c r="AJ684" s="56"/>
    </row>
    <row r="685" customFormat="false" ht="15" hidden="false" customHeight="false" outlineLevel="0" collapsed="false">
      <c r="T685" s="66"/>
      <c r="U685" s="35"/>
      <c r="V685" s="13" t="n">
        <v>-0.0371437596592941</v>
      </c>
      <c r="W685" s="13" t="n">
        <v>0.00532937018097535</v>
      </c>
      <c r="X685" s="13" t="n">
        <f aca="false">PRODUCT(V685:W685)</f>
        <v>-0.000197952845137557</v>
      </c>
      <c r="Y685" s="56"/>
      <c r="Z685" s="56"/>
      <c r="AA685" s="56"/>
      <c r="AB685" s="56"/>
      <c r="AC685" s="57"/>
      <c r="AD685" s="56"/>
      <c r="AE685" s="56"/>
      <c r="AF685" s="56"/>
      <c r="AG685" s="56"/>
      <c r="AH685" s="56"/>
      <c r="AI685" s="56"/>
      <c r="AJ685" s="56"/>
    </row>
    <row r="686" customFormat="false" ht="15" hidden="false" customHeight="false" outlineLevel="0" collapsed="false">
      <c r="T686" s="66"/>
      <c r="U686" s="35"/>
      <c r="V686" s="13" t="n">
        <v>0.0281537601797357</v>
      </c>
      <c r="W686" s="13" t="n">
        <v>-0.00146193131466177</v>
      </c>
      <c r="X686" s="13" t="n">
        <f aca="false">PRODUCT(V686:W686)</f>
        <v>-4.11588636322332E-005</v>
      </c>
      <c r="Y686" s="56"/>
      <c r="Z686" s="56"/>
      <c r="AA686" s="56"/>
      <c r="AB686" s="56"/>
      <c r="AC686" s="57"/>
      <c r="AD686" s="56"/>
      <c r="AE686" s="56"/>
      <c r="AF686" s="56"/>
      <c r="AG686" s="56"/>
      <c r="AH686" s="56"/>
      <c r="AI686" s="56"/>
      <c r="AJ686" s="56"/>
    </row>
    <row r="687" customFormat="false" ht="15" hidden="false" customHeight="false" outlineLevel="0" collapsed="false">
      <c r="T687" s="66"/>
      <c r="U687" s="35"/>
      <c r="V687" s="13" t="n">
        <v>0.00507985634745367</v>
      </c>
      <c r="W687" s="13" t="n">
        <v>0.0105056563841943</v>
      </c>
      <c r="X687" s="13" t="n">
        <f aca="false">PRODUCT(V687:W687)</f>
        <v>5.33672252674166E-005</v>
      </c>
      <c r="Y687" s="56"/>
      <c r="Z687" s="56"/>
      <c r="AA687" s="56"/>
      <c r="AB687" s="56"/>
      <c r="AC687" s="57"/>
      <c r="AD687" s="56"/>
      <c r="AE687" s="56"/>
      <c r="AF687" s="56"/>
      <c r="AG687" s="56"/>
      <c r="AH687" s="56"/>
      <c r="AI687" s="56"/>
      <c r="AJ687" s="56"/>
    </row>
    <row r="688" customFormat="false" ht="15" hidden="false" customHeight="false" outlineLevel="0" collapsed="false">
      <c r="T688" s="66"/>
      <c r="U688" s="35"/>
      <c r="V688" s="13" t="n">
        <v>-0.0335655926492908</v>
      </c>
      <c r="W688" s="13" t="n">
        <v>0.005407805169094</v>
      </c>
      <c r="X688" s="13" t="n">
        <f aca="false">PRODUCT(V688:W688)</f>
        <v>-0.000181516185432538</v>
      </c>
      <c r="Y688" s="56"/>
      <c r="Z688" s="56"/>
      <c r="AA688" s="56"/>
      <c r="AB688" s="56"/>
      <c r="AC688" s="57"/>
      <c r="AD688" s="56"/>
      <c r="AE688" s="56"/>
      <c r="AF688" s="56"/>
      <c r="AG688" s="56"/>
      <c r="AH688" s="56"/>
      <c r="AI688" s="56"/>
      <c r="AJ688" s="56"/>
    </row>
    <row r="689" customFormat="false" ht="15" hidden="false" customHeight="false" outlineLevel="0" collapsed="false">
      <c r="T689" s="66"/>
      <c r="U689" s="35"/>
      <c r="V689" s="13" t="n">
        <v>0.0119882549233612</v>
      </c>
      <c r="W689" s="13" t="n">
        <v>0.00535953688294111</v>
      </c>
      <c r="X689" s="13" t="n">
        <f aca="false">PRODUCT(V689:W689)</f>
        <v>6.42514944238547E-005</v>
      </c>
      <c r="Y689" s="56"/>
      <c r="Z689" s="56"/>
      <c r="AA689" s="56"/>
      <c r="AB689" s="56"/>
      <c r="AC689" s="57"/>
      <c r="AD689" s="56"/>
      <c r="AE689" s="56"/>
      <c r="AF689" s="56"/>
      <c r="AG689" s="56"/>
      <c r="AH689" s="56"/>
      <c r="AI689" s="56"/>
      <c r="AJ689" s="56"/>
    </row>
    <row r="690" customFormat="false" ht="15" hidden="false" customHeight="false" outlineLevel="0" collapsed="false">
      <c r="T690" s="66"/>
      <c r="U690" s="35"/>
      <c r="V690" s="13" t="n">
        <v>0.0261701880295817</v>
      </c>
      <c r="W690" s="13" t="n">
        <v>-0.0124556083581471</v>
      </c>
      <c r="X690" s="13" t="n">
        <f aca="false">PRODUCT(V690:W690)</f>
        <v>-0.000325965612755539</v>
      </c>
      <c r="Y690" s="56"/>
      <c r="Z690" s="56"/>
      <c r="AA690" s="56"/>
      <c r="AB690" s="56"/>
      <c r="AC690" s="57"/>
      <c r="AD690" s="56"/>
      <c r="AE690" s="56"/>
      <c r="AF690" s="56"/>
      <c r="AG690" s="56"/>
      <c r="AH690" s="56"/>
      <c r="AI690" s="56"/>
      <c r="AJ690" s="56"/>
    </row>
    <row r="691" customFormat="false" ht="15" hidden="false" customHeight="false" outlineLevel="0" collapsed="false">
      <c r="T691" s="66"/>
      <c r="U691" s="35"/>
      <c r="V691" s="13" t="n">
        <v>-0.086624891430251</v>
      </c>
      <c r="W691" s="13" t="n">
        <v>-0.046037362921882</v>
      </c>
      <c r="X691" s="13" t="n">
        <f aca="false">PRODUCT(V691:W691)</f>
        <v>0.00398798156484309</v>
      </c>
      <c r="Y691" s="56"/>
      <c r="Z691" s="56"/>
      <c r="AA691" s="56"/>
      <c r="AB691" s="56"/>
      <c r="AC691" s="57"/>
      <c r="AD691" s="56"/>
      <c r="AE691" s="56"/>
      <c r="AF691" s="56"/>
      <c r="AG691" s="56"/>
      <c r="AH691" s="56"/>
      <c r="AI691" s="56"/>
      <c r="AJ691" s="56"/>
    </row>
    <row r="692" customFormat="false" ht="15" hidden="false" customHeight="false" outlineLevel="0" collapsed="false">
      <c r="T692" s="66"/>
      <c r="U692" s="35"/>
      <c r="V692" s="13" t="n">
        <v>0.0513667456357858</v>
      </c>
      <c r="W692" s="13" t="n">
        <v>0.0186101548656223</v>
      </c>
      <c r="X692" s="13" t="n">
        <f aca="false">PRODUCT(V692:W692)</f>
        <v>0.000955943091225002</v>
      </c>
      <c r="Y692" s="56"/>
      <c r="Z692" s="56"/>
      <c r="AA692" s="56"/>
      <c r="AB692" s="56"/>
      <c r="AC692" s="57"/>
      <c r="AD692" s="56"/>
      <c r="AE692" s="56"/>
      <c r="AF692" s="56"/>
      <c r="AG692" s="56"/>
      <c r="AH692" s="56"/>
      <c r="AI692" s="56"/>
      <c r="AJ692" s="56"/>
    </row>
    <row r="693" customFormat="false" ht="15" hidden="false" customHeight="false" outlineLevel="0" collapsed="false">
      <c r="T693" s="66"/>
      <c r="U693" s="35"/>
      <c r="V693" s="13" t="n">
        <v>-0.0496645241573237</v>
      </c>
      <c r="W693" s="13" t="n">
        <v>-0.0425251881278683</v>
      </c>
      <c r="X693" s="13" t="n">
        <f aca="false">PRODUCT(V693:W693)</f>
        <v>0.00211199323307125</v>
      </c>
      <c r="Y693" s="56"/>
      <c r="Z693" s="56"/>
      <c r="AA693" s="56"/>
      <c r="AB693" s="56"/>
      <c r="AC693" s="57"/>
      <c r="AD693" s="56"/>
      <c r="AE693" s="56"/>
      <c r="AF693" s="56"/>
      <c r="AG693" s="56"/>
      <c r="AH693" s="56"/>
      <c r="AI693" s="56"/>
      <c r="AJ693" s="56"/>
    </row>
    <row r="694" customFormat="false" ht="15" hidden="false" customHeight="false" outlineLevel="0" collapsed="false">
      <c r="T694" s="66"/>
      <c r="U694" s="35"/>
      <c r="V694" s="13" t="n">
        <v>0.00562836665612387</v>
      </c>
      <c r="W694" s="13" t="n">
        <v>0.00312639980696439</v>
      </c>
      <c r="X694" s="13" t="n">
        <f aca="false">PRODUCT(V694:W694)</f>
        <v>1.75965244272305E-005</v>
      </c>
      <c r="Y694" s="56"/>
      <c r="Z694" s="56"/>
      <c r="AA694" s="56"/>
      <c r="AB694" s="56"/>
      <c r="AC694" s="57"/>
      <c r="AD694" s="56"/>
      <c r="AE694" s="56"/>
      <c r="AF694" s="56"/>
      <c r="AG694" s="56"/>
      <c r="AH694" s="56"/>
      <c r="AI694" s="56"/>
      <c r="AJ694" s="56"/>
    </row>
    <row r="695" customFormat="false" ht="15" hidden="false" customHeight="false" outlineLevel="0" collapsed="false">
      <c r="T695" s="66"/>
      <c r="U695" s="35"/>
      <c r="V695" s="13" t="n">
        <v>-0.0733491729754263</v>
      </c>
      <c r="W695" s="13" t="n">
        <v>-0.0668515324706265</v>
      </c>
      <c r="X695" s="13" t="n">
        <f aca="false">PRODUCT(V695:W695)</f>
        <v>0.00490350461886031</v>
      </c>
      <c r="Y695" s="56"/>
      <c r="Z695" s="56"/>
      <c r="AA695" s="56"/>
      <c r="AB695" s="56"/>
      <c r="AC695" s="57"/>
      <c r="AD695" s="56"/>
      <c r="AE695" s="56"/>
      <c r="AF695" s="56"/>
      <c r="AG695" s="56"/>
      <c r="AH695" s="56"/>
      <c r="AI695" s="56"/>
      <c r="AJ695" s="56"/>
    </row>
    <row r="696" customFormat="false" ht="15" hidden="false" customHeight="false" outlineLevel="0" collapsed="false">
      <c r="T696" s="66"/>
      <c r="U696" s="35"/>
      <c r="V696" s="13" t="n">
        <v>-0.0288392613724096</v>
      </c>
      <c r="W696" s="13" t="n">
        <v>-0.015541417689751</v>
      </c>
      <c r="X696" s="13" t="n">
        <f aca="false">PRODUCT(V696:W696)</f>
        <v>0.000448203006852519</v>
      </c>
      <c r="Y696" s="56"/>
      <c r="Z696" s="56"/>
      <c r="AA696" s="56"/>
      <c r="AB696" s="56"/>
      <c r="AC696" s="57"/>
      <c r="AD696" s="56"/>
      <c r="AE696" s="56"/>
      <c r="AF696" s="56"/>
      <c r="AG696" s="56"/>
      <c r="AH696" s="56"/>
      <c r="AI696" s="56"/>
      <c r="AJ696" s="56"/>
    </row>
    <row r="697" customFormat="false" ht="15" hidden="false" customHeight="false" outlineLevel="0" collapsed="false">
      <c r="T697" s="66"/>
      <c r="U697" s="35"/>
      <c r="V697" s="13" t="n">
        <v>-0.137582112305408</v>
      </c>
      <c r="W697" s="13" t="n">
        <v>-0.113641990653887</v>
      </c>
      <c r="X697" s="13" t="n">
        <f aca="false">PRODUCT(V697:W697)</f>
        <v>0.0156351051207532</v>
      </c>
      <c r="Y697" s="56"/>
      <c r="Z697" s="56"/>
      <c r="AA697" s="56"/>
      <c r="AB697" s="56"/>
      <c r="AC697" s="57"/>
      <c r="AD697" s="56"/>
      <c r="AE697" s="56"/>
      <c r="AF697" s="56"/>
      <c r="AG697" s="56"/>
      <c r="AH697" s="56"/>
      <c r="AI697" s="56"/>
      <c r="AJ697" s="56"/>
    </row>
    <row r="698" customFormat="false" ht="15" hidden="false" customHeight="false" outlineLevel="0" collapsed="false">
      <c r="T698" s="66"/>
      <c r="U698" s="35"/>
      <c r="V698" s="13" t="n">
        <v>-0.160490109664439</v>
      </c>
      <c r="W698" s="13" t="n">
        <v>-0.134926521936364</v>
      </c>
      <c r="X698" s="13" t="n">
        <f aca="false">PRODUCT(V698:W698)</f>
        <v>0.0216543723022084</v>
      </c>
      <c r="Y698" s="56"/>
      <c r="Z698" s="56"/>
      <c r="AA698" s="56"/>
      <c r="AB698" s="56"/>
      <c r="AC698" s="57"/>
      <c r="AD698" s="56"/>
      <c r="AE698" s="56"/>
      <c r="AF698" s="56"/>
      <c r="AG698" s="56"/>
      <c r="AH698" s="56"/>
      <c r="AI698" s="56"/>
      <c r="AJ698" s="56"/>
    </row>
    <row r="699" customFormat="false" ht="15" hidden="false" customHeight="false" outlineLevel="0" collapsed="false">
      <c r="T699" s="66"/>
      <c r="U699" s="35"/>
      <c r="V699" s="13" t="n">
        <v>0.0297539369524458</v>
      </c>
      <c r="W699" s="13" t="n">
        <v>0.126181836462973</v>
      </c>
      <c r="X699" s="13" t="n">
        <f aca="false">PRODUCT(V699:W699)</f>
        <v>0.00375440640666313</v>
      </c>
      <c r="Y699" s="56"/>
      <c r="Z699" s="56"/>
      <c r="AA699" s="56"/>
      <c r="AB699" s="56"/>
      <c r="AC699" s="57"/>
      <c r="AD699" s="56"/>
      <c r="AE699" s="56"/>
      <c r="AF699" s="56"/>
      <c r="AG699" s="56"/>
      <c r="AH699" s="56"/>
      <c r="AI699" s="56"/>
      <c r="AJ699" s="56"/>
    </row>
    <row r="700" customFormat="false" ht="15" hidden="false" customHeight="false" outlineLevel="0" collapsed="false">
      <c r="T700" s="66"/>
      <c r="U700" s="35"/>
      <c r="V700" s="13" t="n">
        <v>0.0363105150162877</v>
      </c>
      <c r="W700" s="13" t="n">
        <v>0.00983031114018562</v>
      </c>
      <c r="X700" s="13" t="n">
        <f aca="false">PRODUCT(V700:W700)</f>
        <v>0.00035694366027049</v>
      </c>
      <c r="Y700" s="56"/>
      <c r="Z700" s="56"/>
      <c r="AA700" s="56"/>
      <c r="AB700" s="56"/>
      <c r="AC700" s="57"/>
      <c r="AD700" s="56"/>
      <c r="AE700" s="56"/>
      <c r="AF700" s="56"/>
      <c r="AG700" s="56"/>
      <c r="AH700" s="56"/>
      <c r="AI700" s="56"/>
      <c r="AJ700" s="56"/>
    </row>
    <row r="701" customFormat="false" ht="15" hidden="false" customHeight="false" outlineLevel="0" collapsed="false">
      <c r="T701" s="66"/>
      <c r="U701" s="35"/>
      <c r="V701" s="13" t="n">
        <v>0.0947155701478657</v>
      </c>
      <c r="W701" s="13" t="n">
        <v>0.02765673092855</v>
      </c>
      <c r="X701" s="13" t="n">
        <f aca="false">PRODUCT(V701:W701)</f>
        <v>0.00261952303832372</v>
      </c>
      <c r="Y701" s="56"/>
      <c r="Z701" s="56"/>
      <c r="AA701" s="56"/>
      <c r="AB701" s="56"/>
      <c r="AC701" s="57"/>
      <c r="AD701" s="56"/>
      <c r="AE701" s="56"/>
      <c r="AF701" s="56"/>
      <c r="AG701" s="56"/>
      <c r="AH701" s="56"/>
      <c r="AI701" s="56"/>
      <c r="AJ701" s="56"/>
    </row>
    <row r="702" customFormat="false" ht="15" hidden="false" customHeight="false" outlineLevel="0" collapsed="false">
      <c r="T702" s="66"/>
      <c r="U702" s="35"/>
      <c r="V702" s="13" t="n">
        <v>0.0674655061903415</v>
      </c>
      <c r="W702" s="13" t="n">
        <v>0.0577018945838441</v>
      </c>
      <c r="X702" s="13" t="n">
        <f aca="false">PRODUCT(V702:W702)</f>
        <v>0.00389288752624077</v>
      </c>
      <c r="Y702" s="56"/>
      <c r="Z702" s="56"/>
      <c r="AA702" s="56"/>
      <c r="AB702" s="56"/>
      <c r="AC702" s="57"/>
      <c r="AD702" s="56"/>
      <c r="AE702" s="56"/>
      <c r="AF702" s="56"/>
      <c r="AG702" s="56"/>
      <c r="AH702" s="56"/>
      <c r="AI702" s="56"/>
      <c r="AJ702" s="56"/>
    </row>
    <row r="703" customFormat="false" ht="15" hidden="false" customHeight="false" outlineLevel="0" collapsed="false">
      <c r="T703" s="66"/>
      <c r="U703" s="35"/>
      <c r="V703" s="13" t="n">
        <v>-0.0483760468566938</v>
      </c>
      <c r="W703" s="13" t="n">
        <v>0.00441549451502432</v>
      </c>
      <c r="X703" s="13" t="n">
        <f aca="false">PRODUCT(V703:W703)</f>
        <v>-0.000213604169554291</v>
      </c>
      <c r="Y703" s="56"/>
      <c r="Z703" s="56"/>
      <c r="AA703" s="56"/>
      <c r="AB703" s="56"/>
      <c r="AC703" s="57"/>
      <c r="AD703" s="56"/>
      <c r="AE703" s="56"/>
      <c r="AF703" s="56"/>
      <c r="AG703" s="56"/>
      <c r="AH703" s="56"/>
      <c r="AI703" s="56"/>
      <c r="AJ703" s="56"/>
    </row>
    <row r="704" customFormat="false" ht="15" hidden="false" customHeight="false" outlineLevel="0" collapsed="false">
      <c r="T704" s="66"/>
      <c r="U704" s="35"/>
      <c r="V704" s="13" t="n">
        <v>0.036157954797277</v>
      </c>
      <c r="W704" s="13" t="n">
        <v>0.0547925509417428</v>
      </c>
      <c r="X704" s="13" t="n">
        <f aca="false">PRODUCT(V704:W704)</f>
        <v>0.00198118658017903</v>
      </c>
      <c r="Y704" s="56"/>
      <c r="Z704" s="56"/>
      <c r="AA704" s="56"/>
      <c r="AB704" s="56"/>
      <c r="AC704" s="57"/>
      <c r="AD704" s="56"/>
      <c r="AE704" s="56"/>
      <c r="AF704" s="56"/>
      <c r="AG704" s="56"/>
      <c r="AH704" s="56"/>
      <c r="AI704" s="56"/>
      <c r="AJ704" s="56"/>
    </row>
    <row r="705" customFormat="false" ht="15" hidden="false" customHeight="false" outlineLevel="0" collapsed="false">
      <c r="T705" s="66"/>
      <c r="U705" s="35"/>
      <c r="V705" s="13" t="n">
        <v>-0.0200172877898392</v>
      </c>
      <c r="W705" s="13" t="n">
        <v>-0.0379351995026553</v>
      </c>
      <c r="X705" s="13" t="n">
        <f aca="false">PRODUCT(V705:W705)</f>
        <v>0.000759359805809616</v>
      </c>
      <c r="Y705" s="56"/>
      <c r="Z705" s="56"/>
      <c r="AA705" s="56"/>
      <c r="AB705" s="56"/>
      <c r="AC705" s="57"/>
      <c r="AD705" s="56"/>
      <c r="AE705" s="56"/>
      <c r="AF705" s="56"/>
      <c r="AG705" s="56"/>
      <c r="AH705" s="56"/>
      <c r="AI705" s="56"/>
      <c r="AJ705" s="56"/>
    </row>
    <row r="706" customFormat="false" ht="15" hidden="false" customHeight="false" outlineLevel="0" collapsed="false">
      <c r="T706" s="66"/>
      <c r="U706" s="35"/>
      <c r="V706" s="13" t="n">
        <v>0.0242544516808572</v>
      </c>
      <c r="W706" s="13" t="n">
        <v>-0.00655362034947515</v>
      </c>
      <c r="X706" s="13" t="n">
        <f aca="false">PRODUCT(V706:W706)</f>
        <v>-0.000158954468101028</v>
      </c>
      <c r="Y706" s="56"/>
      <c r="Z706" s="56"/>
      <c r="AA706" s="56"/>
      <c r="AB706" s="56"/>
      <c r="AC706" s="57"/>
      <c r="AD706" s="56"/>
      <c r="AE706" s="56"/>
      <c r="AF706" s="56"/>
      <c r="AG706" s="56"/>
      <c r="AH706" s="56"/>
      <c r="AI706" s="56"/>
      <c r="AJ706" s="56"/>
    </row>
    <row r="707" customFormat="false" ht="15" hidden="false" customHeight="false" outlineLevel="0" collapsed="false">
      <c r="T707" s="66"/>
      <c r="U707" s="35"/>
      <c r="V707" s="13" t="n">
        <v>-0.0272588963599887</v>
      </c>
      <c r="W707" s="13" t="n">
        <v>0.00613771145021413</v>
      </c>
      <c r="X707" s="13" t="n">
        <f aca="false">PRODUCT(V707:W707)</f>
        <v>-0.000167307240308903</v>
      </c>
      <c r="Y707" s="56"/>
      <c r="Z707" s="56"/>
      <c r="AA707" s="56"/>
      <c r="AB707" s="56"/>
      <c r="AC707" s="57"/>
      <c r="AD707" s="56"/>
      <c r="AE707" s="56"/>
      <c r="AF707" s="56"/>
      <c r="AG707" s="56"/>
      <c r="AH707" s="56"/>
      <c r="AI707" s="56"/>
      <c r="AJ707" s="56"/>
    </row>
    <row r="708" customFormat="false" ht="15" hidden="false" customHeight="false" outlineLevel="0" collapsed="false">
      <c r="T708" s="66"/>
      <c r="U708" s="35"/>
      <c r="V708" s="13" t="n">
        <v>0.000859297125646918</v>
      </c>
      <c r="W708" s="13" t="n">
        <v>0.030033137438763</v>
      </c>
      <c r="X708" s="13" t="n">
        <f aca="false">PRODUCT(V708:W708)</f>
        <v>2.58073886752879E-005</v>
      </c>
      <c r="Y708" s="56"/>
      <c r="Z708" s="56"/>
      <c r="AA708" s="56"/>
      <c r="AB708" s="56"/>
      <c r="AC708" s="57"/>
      <c r="AD708" s="56"/>
      <c r="AE708" s="56"/>
      <c r="AF708" s="56"/>
      <c r="AG708" s="56"/>
      <c r="AH708" s="56"/>
      <c r="AI708" s="56"/>
      <c r="AJ708" s="56"/>
    </row>
  </sheetData>
  <mergeCells count="396">
    <mergeCell ref="B2:H2"/>
    <mergeCell ref="J2:M2"/>
    <mergeCell ref="O2:R2"/>
    <mergeCell ref="T2:AC2"/>
    <mergeCell ref="K3:L3"/>
    <mergeCell ref="P3:Q3"/>
    <mergeCell ref="T3:U3"/>
    <mergeCell ref="T4:T238"/>
    <mergeCell ref="U4:U50"/>
    <mergeCell ref="Y4:Y24"/>
    <mergeCell ref="Z4:Z24"/>
    <mergeCell ref="AA4:AA24"/>
    <mergeCell ref="AB4:AB24"/>
    <mergeCell ref="AC4:AC24"/>
    <mergeCell ref="AD4:AD24"/>
    <mergeCell ref="AE4:AE24"/>
    <mergeCell ref="AF4:AF24"/>
    <mergeCell ref="AG4:AG24"/>
    <mergeCell ref="AH4:AH24"/>
    <mergeCell ref="AI4:AI24"/>
    <mergeCell ref="AJ4:AJ24"/>
    <mergeCell ref="B11:H11"/>
    <mergeCell ref="B20:H20"/>
    <mergeCell ref="J22:O22"/>
    <mergeCell ref="K23:L23"/>
    <mergeCell ref="M23:N23"/>
    <mergeCell ref="Y25:Y50"/>
    <mergeCell ref="Z25:Z50"/>
    <mergeCell ref="AA25:AA50"/>
    <mergeCell ref="AB25:AB50"/>
    <mergeCell ref="AC25:AC50"/>
    <mergeCell ref="AD25:AD50"/>
    <mergeCell ref="AE25:AE50"/>
    <mergeCell ref="AF25:AF50"/>
    <mergeCell ref="AG25:AG50"/>
    <mergeCell ref="AH25:AH50"/>
    <mergeCell ref="AI25:AI50"/>
    <mergeCell ref="AJ25:AJ50"/>
    <mergeCell ref="B29:H29"/>
    <mergeCell ref="J41:O41"/>
    <mergeCell ref="K42:L42"/>
    <mergeCell ref="M42:N42"/>
    <mergeCell ref="U51:U97"/>
    <mergeCell ref="Y51:Y71"/>
    <mergeCell ref="Z51:Z71"/>
    <mergeCell ref="AA51:AA71"/>
    <mergeCell ref="AB51:AB71"/>
    <mergeCell ref="AC51:AC71"/>
    <mergeCell ref="AD51:AD71"/>
    <mergeCell ref="AE51:AE71"/>
    <mergeCell ref="AF51:AF71"/>
    <mergeCell ref="AG51:AG71"/>
    <mergeCell ref="AH51:AH71"/>
    <mergeCell ref="AI51:AI71"/>
    <mergeCell ref="AJ51:AJ71"/>
    <mergeCell ref="Y72:Y97"/>
    <mergeCell ref="Z72:Z97"/>
    <mergeCell ref="AA72:AA97"/>
    <mergeCell ref="AB72:AB97"/>
    <mergeCell ref="AC72:AC97"/>
    <mergeCell ref="AD72:AD97"/>
    <mergeCell ref="AE72:AE97"/>
    <mergeCell ref="AF72:AF97"/>
    <mergeCell ref="AG72:AG97"/>
    <mergeCell ref="AH72:AH97"/>
    <mergeCell ref="AI72:AI97"/>
    <mergeCell ref="AJ72:AJ97"/>
    <mergeCell ref="U98:U144"/>
    <mergeCell ref="Y98:Y118"/>
    <mergeCell ref="Z98:Z118"/>
    <mergeCell ref="AA98:AA118"/>
    <mergeCell ref="AB98:AB118"/>
    <mergeCell ref="AC98:AC118"/>
    <mergeCell ref="AD98:AD118"/>
    <mergeCell ref="AE98:AE118"/>
    <mergeCell ref="AF98:AF118"/>
    <mergeCell ref="AG98:AG118"/>
    <mergeCell ref="AH98:AH118"/>
    <mergeCell ref="AI98:AI118"/>
    <mergeCell ref="AJ98:AJ118"/>
    <mergeCell ref="Y119:Y144"/>
    <mergeCell ref="Z119:Z144"/>
    <mergeCell ref="AA119:AA144"/>
    <mergeCell ref="AB119:AB144"/>
    <mergeCell ref="AC119:AC144"/>
    <mergeCell ref="AD119:AD144"/>
    <mergeCell ref="AE119:AE144"/>
    <mergeCell ref="AF119:AF144"/>
    <mergeCell ref="AG119:AG144"/>
    <mergeCell ref="AH119:AH144"/>
    <mergeCell ref="AI119:AI144"/>
    <mergeCell ref="AJ119:AJ144"/>
    <mergeCell ref="U145:U191"/>
    <mergeCell ref="Y145:Y165"/>
    <mergeCell ref="Z145:Z165"/>
    <mergeCell ref="AA145:AA165"/>
    <mergeCell ref="AB145:AB165"/>
    <mergeCell ref="AC145:AC165"/>
    <mergeCell ref="AD145:AD165"/>
    <mergeCell ref="AE145:AE165"/>
    <mergeCell ref="AF145:AF165"/>
    <mergeCell ref="AG145:AG165"/>
    <mergeCell ref="AH145:AH165"/>
    <mergeCell ref="AI145:AI165"/>
    <mergeCell ref="AJ145:AJ165"/>
    <mergeCell ref="Y166:Y191"/>
    <mergeCell ref="Z166:Z191"/>
    <mergeCell ref="AA166:AA191"/>
    <mergeCell ref="AB166:AB191"/>
    <mergeCell ref="AC166:AC191"/>
    <mergeCell ref="AD166:AD191"/>
    <mergeCell ref="AE166:AE191"/>
    <mergeCell ref="AF166:AF191"/>
    <mergeCell ref="AG166:AG191"/>
    <mergeCell ref="AH166:AH191"/>
    <mergeCell ref="AI166:AI191"/>
    <mergeCell ref="AJ166:AJ191"/>
    <mergeCell ref="U192:U238"/>
    <mergeCell ref="Y192:Y212"/>
    <mergeCell ref="Z192:Z212"/>
    <mergeCell ref="AA192:AA212"/>
    <mergeCell ref="AB192:AB212"/>
    <mergeCell ref="AC192:AC212"/>
    <mergeCell ref="AD192:AD212"/>
    <mergeCell ref="AE192:AE212"/>
    <mergeCell ref="AF192:AF212"/>
    <mergeCell ref="AG192:AG212"/>
    <mergeCell ref="AH192:AH212"/>
    <mergeCell ref="AI192:AI212"/>
    <mergeCell ref="AJ192:AJ212"/>
    <mergeCell ref="Y213:Y238"/>
    <mergeCell ref="Z213:Z238"/>
    <mergeCell ref="AA213:AA238"/>
    <mergeCell ref="AB213:AB238"/>
    <mergeCell ref="AC213:AC238"/>
    <mergeCell ref="AD213:AD238"/>
    <mergeCell ref="AE213:AE238"/>
    <mergeCell ref="AF213:AF238"/>
    <mergeCell ref="AG213:AG238"/>
    <mergeCell ref="AH213:AH238"/>
    <mergeCell ref="AI213:AI238"/>
    <mergeCell ref="AJ213:AJ238"/>
    <mergeCell ref="T239:T426"/>
    <mergeCell ref="U239:U285"/>
    <mergeCell ref="Y239:Y259"/>
    <mergeCell ref="Z239:Z259"/>
    <mergeCell ref="AA239:AA259"/>
    <mergeCell ref="AB239:AB259"/>
    <mergeCell ref="AC239:AC259"/>
    <mergeCell ref="AD239:AD259"/>
    <mergeCell ref="AE239:AE259"/>
    <mergeCell ref="AF239:AF259"/>
    <mergeCell ref="AG239:AG259"/>
    <mergeCell ref="AH239:AH259"/>
    <mergeCell ref="AI239:AI259"/>
    <mergeCell ref="AJ239:AJ259"/>
    <mergeCell ref="Y260:Y285"/>
    <mergeCell ref="Z260:Z285"/>
    <mergeCell ref="AA260:AA285"/>
    <mergeCell ref="AB260:AB285"/>
    <mergeCell ref="AC260:AC285"/>
    <mergeCell ref="AD260:AD285"/>
    <mergeCell ref="AE260:AE285"/>
    <mergeCell ref="AF260:AF285"/>
    <mergeCell ref="AG260:AG285"/>
    <mergeCell ref="AH260:AH285"/>
    <mergeCell ref="AI260:AI285"/>
    <mergeCell ref="AJ260:AJ285"/>
    <mergeCell ref="U286:U332"/>
    <mergeCell ref="Y286:Y306"/>
    <mergeCell ref="Z286:Z306"/>
    <mergeCell ref="AA286:AA306"/>
    <mergeCell ref="AB286:AB306"/>
    <mergeCell ref="AC286:AC306"/>
    <mergeCell ref="AD286:AD306"/>
    <mergeCell ref="AE286:AE306"/>
    <mergeCell ref="AF286:AF306"/>
    <mergeCell ref="AG286:AG306"/>
    <mergeCell ref="AH286:AH306"/>
    <mergeCell ref="AI286:AI306"/>
    <mergeCell ref="AJ286:AJ306"/>
    <mergeCell ref="Y307:Y332"/>
    <mergeCell ref="Z307:Z332"/>
    <mergeCell ref="AA307:AA332"/>
    <mergeCell ref="AB307:AB332"/>
    <mergeCell ref="AC307:AC332"/>
    <mergeCell ref="AD307:AD332"/>
    <mergeCell ref="AE307:AE332"/>
    <mergeCell ref="AF307:AF332"/>
    <mergeCell ref="AG307:AG332"/>
    <mergeCell ref="AH307:AH332"/>
    <mergeCell ref="AI307:AI332"/>
    <mergeCell ref="AJ307:AJ332"/>
    <mergeCell ref="U333:U379"/>
    <mergeCell ref="Y333:Y353"/>
    <mergeCell ref="Z333:Z353"/>
    <mergeCell ref="AA333:AA353"/>
    <mergeCell ref="AB333:AB353"/>
    <mergeCell ref="AC333:AC353"/>
    <mergeCell ref="AD333:AD353"/>
    <mergeCell ref="AE333:AE353"/>
    <mergeCell ref="AF333:AF353"/>
    <mergeCell ref="AG333:AG353"/>
    <mergeCell ref="AH333:AH353"/>
    <mergeCell ref="AI333:AI353"/>
    <mergeCell ref="AJ333:AJ353"/>
    <mergeCell ref="Y354:Y379"/>
    <mergeCell ref="Z354:Z379"/>
    <mergeCell ref="AA354:AA379"/>
    <mergeCell ref="AB354:AB379"/>
    <mergeCell ref="AC354:AC379"/>
    <mergeCell ref="AD354:AD379"/>
    <mergeCell ref="AE354:AE379"/>
    <mergeCell ref="AF354:AF379"/>
    <mergeCell ref="AG354:AG379"/>
    <mergeCell ref="AH354:AH379"/>
    <mergeCell ref="AI354:AI379"/>
    <mergeCell ref="AJ354:AJ379"/>
    <mergeCell ref="U380:U426"/>
    <mergeCell ref="Y380:Y400"/>
    <mergeCell ref="Z380:Z400"/>
    <mergeCell ref="AA380:AA400"/>
    <mergeCell ref="AB380:AB400"/>
    <mergeCell ref="AC380:AC400"/>
    <mergeCell ref="AD380:AD400"/>
    <mergeCell ref="AE380:AE400"/>
    <mergeCell ref="AF380:AF400"/>
    <mergeCell ref="AG380:AG400"/>
    <mergeCell ref="AH380:AH400"/>
    <mergeCell ref="AI380:AI400"/>
    <mergeCell ref="AJ380:AJ400"/>
    <mergeCell ref="Y401:Y426"/>
    <mergeCell ref="Z401:Z426"/>
    <mergeCell ref="AA401:AA426"/>
    <mergeCell ref="AB401:AB426"/>
    <mergeCell ref="AC401:AC426"/>
    <mergeCell ref="AD401:AD426"/>
    <mergeCell ref="AE401:AE426"/>
    <mergeCell ref="AF401:AF426"/>
    <mergeCell ref="AG401:AG426"/>
    <mergeCell ref="AH401:AH426"/>
    <mergeCell ref="AI401:AI426"/>
    <mergeCell ref="AJ401:AJ426"/>
    <mergeCell ref="T427:T567"/>
    <mergeCell ref="U427:U473"/>
    <mergeCell ref="Y427:Y447"/>
    <mergeCell ref="Z427:Z447"/>
    <mergeCell ref="AA427:AA447"/>
    <mergeCell ref="AB427:AB447"/>
    <mergeCell ref="AC427:AC447"/>
    <mergeCell ref="AD427:AD447"/>
    <mergeCell ref="AE427:AE447"/>
    <mergeCell ref="AF427:AF447"/>
    <mergeCell ref="AG427:AG447"/>
    <mergeCell ref="AH427:AH447"/>
    <mergeCell ref="AI427:AI447"/>
    <mergeCell ref="AJ427:AJ447"/>
    <mergeCell ref="Y448:Y473"/>
    <mergeCell ref="Z448:Z473"/>
    <mergeCell ref="AA448:AA473"/>
    <mergeCell ref="AB448:AB473"/>
    <mergeCell ref="AC448:AC473"/>
    <mergeCell ref="AD448:AD473"/>
    <mergeCell ref="AE448:AE473"/>
    <mergeCell ref="AF448:AF473"/>
    <mergeCell ref="AG448:AG473"/>
    <mergeCell ref="AH448:AH473"/>
    <mergeCell ref="AI448:AI473"/>
    <mergeCell ref="AJ448:AJ473"/>
    <mergeCell ref="U474:U520"/>
    <mergeCell ref="Y474:Y494"/>
    <mergeCell ref="Z474:Z494"/>
    <mergeCell ref="AA474:AA494"/>
    <mergeCell ref="AB474:AB494"/>
    <mergeCell ref="AC474:AC494"/>
    <mergeCell ref="AD474:AD494"/>
    <mergeCell ref="AE474:AE494"/>
    <mergeCell ref="AF474:AF494"/>
    <mergeCell ref="AG474:AG494"/>
    <mergeCell ref="AH474:AH494"/>
    <mergeCell ref="AI474:AI494"/>
    <mergeCell ref="AJ474:AJ494"/>
    <mergeCell ref="Y495:Y520"/>
    <mergeCell ref="Z495:Z520"/>
    <mergeCell ref="AA495:AA520"/>
    <mergeCell ref="AB495:AB520"/>
    <mergeCell ref="AC495:AC520"/>
    <mergeCell ref="AD495:AD520"/>
    <mergeCell ref="AE495:AE520"/>
    <mergeCell ref="AF495:AF520"/>
    <mergeCell ref="AG495:AG520"/>
    <mergeCell ref="AH495:AH520"/>
    <mergeCell ref="AI495:AI520"/>
    <mergeCell ref="AJ495:AJ520"/>
    <mergeCell ref="U521:U567"/>
    <mergeCell ref="Y521:Y541"/>
    <mergeCell ref="Z521:Z541"/>
    <mergeCell ref="AA521:AA541"/>
    <mergeCell ref="AB521:AB541"/>
    <mergeCell ref="AC521:AC541"/>
    <mergeCell ref="AD521:AD541"/>
    <mergeCell ref="AE521:AE541"/>
    <mergeCell ref="AF521:AF541"/>
    <mergeCell ref="AG521:AG541"/>
    <mergeCell ref="AH521:AH541"/>
    <mergeCell ref="AI521:AI541"/>
    <mergeCell ref="AJ521:AJ541"/>
    <mergeCell ref="Y542:Y567"/>
    <mergeCell ref="Z542:Z567"/>
    <mergeCell ref="AA542:AA567"/>
    <mergeCell ref="AB542:AB567"/>
    <mergeCell ref="AC542:AC567"/>
    <mergeCell ref="AD542:AD567"/>
    <mergeCell ref="AE542:AE567"/>
    <mergeCell ref="AF542:AF567"/>
    <mergeCell ref="AG542:AG567"/>
    <mergeCell ref="AH542:AH567"/>
    <mergeCell ref="AI542:AI567"/>
    <mergeCell ref="AJ542:AJ567"/>
    <mergeCell ref="T568:T661"/>
    <mergeCell ref="U568:U614"/>
    <mergeCell ref="Y568:Y588"/>
    <mergeCell ref="Z568:Z588"/>
    <mergeCell ref="AA568:AA588"/>
    <mergeCell ref="AB568:AB588"/>
    <mergeCell ref="AC568:AC588"/>
    <mergeCell ref="AD568:AD588"/>
    <mergeCell ref="AE568:AE588"/>
    <mergeCell ref="AF568:AF588"/>
    <mergeCell ref="AG568:AG588"/>
    <mergeCell ref="AH568:AH588"/>
    <mergeCell ref="AI568:AI588"/>
    <mergeCell ref="AJ568:AJ588"/>
    <mergeCell ref="Y589:Y614"/>
    <mergeCell ref="Z589:Z614"/>
    <mergeCell ref="AA589:AA614"/>
    <mergeCell ref="AB589:AB614"/>
    <mergeCell ref="AC589:AC614"/>
    <mergeCell ref="AD589:AD614"/>
    <mergeCell ref="AE589:AE614"/>
    <mergeCell ref="AF589:AF614"/>
    <mergeCell ref="AG589:AG614"/>
    <mergeCell ref="AH589:AH614"/>
    <mergeCell ref="AI589:AI614"/>
    <mergeCell ref="AJ589:AJ614"/>
    <mergeCell ref="U615:U661"/>
    <mergeCell ref="Y615:Y635"/>
    <mergeCell ref="Z615:Z635"/>
    <mergeCell ref="AA615:AA635"/>
    <mergeCell ref="AB615:AB635"/>
    <mergeCell ref="AC615:AC635"/>
    <mergeCell ref="AD615:AD635"/>
    <mergeCell ref="AE615:AE635"/>
    <mergeCell ref="AF615:AF635"/>
    <mergeCell ref="AG615:AG635"/>
    <mergeCell ref="AH615:AH635"/>
    <mergeCell ref="AI615:AI635"/>
    <mergeCell ref="AJ615:AJ635"/>
    <mergeCell ref="Y636:Y661"/>
    <mergeCell ref="Z636:Z661"/>
    <mergeCell ref="AA636:AA661"/>
    <mergeCell ref="AB636:AB661"/>
    <mergeCell ref="AC636:AC661"/>
    <mergeCell ref="AD636:AD661"/>
    <mergeCell ref="AE636:AE661"/>
    <mergeCell ref="AF636:AF661"/>
    <mergeCell ref="AG636:AG661"/>
    <mergeCell ref="AH636:AH661"/>
    <mergeCell ref="AI636:AI661"/>
    <mergeCell ref="AJ636:AJ661"/>
    <mergeCell ref="T662:T708"/>
    <mergeCell ref="U662:U708"/>
    <mergeCell ref="Y662:Y682"/>
    <mergeCell ref="Z662:Z682"/>
    <mergeCell ref="AA662:AA682"/>
    <mergeCell ref="AB662:AB682"/>
    <mergeCell ref="AC662:AC682"/>
    <mergeCell ref="AD662:AD682"/>
    <mergeCell ref="AE662:AE682"/>
    <mergeCell ref="AF662:AF682"/>
    <mergeCell ref="AG662:AG682"/>
    <mergeCell ref="AH662:AH682"/>
    <mergeCell ref="AI662:AI682"/>
    <mergeCell ref="AJ662:AJ682"/>
    <mergeCell ref="Y683:Y708"/>
    <mergeCell ref="Z683:Z708"/>
    <mergeCell ref="AA683:AA708"/>
    <mergeCell ref="AB683:AB708"/>
    <mergeCell ref="AC683:AC708"/>
    <mergeCell ref="AD683:AD708"/>
    <mergeCell ref="AE683:AE708"/>
    <mergeCell ref="AF683:AF708"/>
    <mergeCell ref="AG683:AG708"/>
    <mergeCell ref="AH683:AH708"/>
    <mergeCell ref="AI683:AI708"/>
    <mergeCell ref="AJ683:AJ708"/>
  </mergeCells>
  <conditionalFormatting sqref="C31:H36">
    <cfRule type="colorScale" priority="2">
      <colorScale>
        <cfvo type="min" val="0"/>
        <cfvo type="max" val="0"/>
        <color rgb="FFFFEF9C"/>
        <color rgb="FF63BE7B"/>
      </colorScale>
    </cfRule>
    <cfRule type="colorScale" priority="3">
      <colorScale>
        <cfvo type="min" val="0"/>
        <cfvo type="max" val="0"/>
        <color rgb="FF63BE7B"/>
        <color rgb="FFFFEF9C"/>
      </colorScale>
    </cfRule>
  </conditionalFormatting>
  <conditionalFormatting sqref="C22:H27">
    <cfRule type="colorScale" priority="4">
      <colorScale>
        <cfvo type="min" val="0"/>
        <cfvo type="max" val="0"/>
        <color rgb="FFFFEF9C"/>
        <color rgb="FF63BE7B"/>
      </colorScale>
    </cfRule>
    <cfRule type="colorScale" priority="5">
      <colorScale>
        <cfvo type="min" val="0"/>
        <cfvo type="max" val="0"/>
        <color rgb="FF63BE7B"/>
        <color rgb="FFFFEF9C"/>
      </colorScale>
    </cfRule>
  </conditionalFormatting>
  <conditionalFormatting sqref="C13:H18">
    <cfRule type="colorScale" priority="6">
      <colorScale>
        <cfvo type="min" val="0"/>
        <cfvo type="max" val="0"/>
        <color rgb="FF63BE7B"/>
        <color rgb="FFFFEF9C"/>
      </colorScale>
    </cfRule>
    <cfRule type="colorScale" priority="7">
      <colorScale>
        <cfvo type="min" val="0"/>
        <cfvo type="max" val="0"/>
        <color rgb="FFFFEF9C"/>
        <color rgb="FF63BE7B"/>
      </colorScale>
    </cfRule>
  </conditionalFormatting>
  <conditionalFormatting sqref="C4:H9">
    <cfRule type="colorScale" priority="8">
      <colorScale>
        <cfvo type="min" val="0"/>
        <cfvo type="max" val="0"/>
        <color rgb="FF63BE7B"/>
        <color rgb="FFFFEF9C"/>
      </colorScale>
    </cfRule>
    <cfRule type="colorScale" priority="9">
      <colorScale>
        <cfvo type="min" val="0"/>
        <cfvo type="max" val="0"/>
        <color rgb="FFFCFCFF"/>
        <color rgb="FF63BE7B"/>
      </colorScale>
    </cfRule>
    <cfRule type="colorScale" priority="10">
      <colorScale>
        <cfvo type="min" val="0"/>
        <cfvo type="max" val="0"/>
        <color rgb="FFFCFCFF"/>
        <color rgb="FF63BE7B"/>
      </colorScale>
    </cfRule>
    <cfRule type="colorScale" priority="11">
      <colorScale>
        <cfvo type="min" val="0"/>
        <cfvo type="max" val="0"/>
        <color rgb="FF63BE7B"/>
        <color rgb="FFFCFCFF"/>
      </colorScale>
    </cfRule>
    <cfRule type="colorScale" priority="12">
      <colorScale>
        <cfvo type="min" val="0"/>
        <cfvo type="max" val="0"/>
        <color rgb="FF63BE7B"/>
        <color rgb="FFFCFCFF"/>
      </colorScale>
    </cfRule>
    <cfRule type="colorScale" priority="13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1:F37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22" activeCellId="0" sqref="F222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16.29"/>
    <col collapsed="false" customWidth="true" hidden="false" outlineLevel="0" max="4" min="4" style="1" width="26.47"/>
    <col collapsed="false" customWidth="true" hidden="false" outlineLevel="0" max="5" min="5" style="1" width="15.86"/>
    <col collapsed="false" customWidth="true" hidden="false" outlineLevel="0" max="6" min="6" style="1" width="28.68"/>
    <col collapsed="false" customWidth="true" hidden="false" outlineLevel="0" max="9" min="9" style="1" width="12.14"/>
    <col collapsed="false" customWidth="true" hidden="false" outlineLevel="0" max="10" min="10" style="1" width="14.29"/>
    <col collapsed="false" customWidth="true" hidden="false" outlineLevel="0" max="11" min="11" style="1" width="22.43"/>
    <col collapsed="false" customWidth="true" hidden="false" outlineLevel="0" max="12" min="12" style="1" width="11.14"/>
    <col collapsed="false" customWidth="true" hidden="false" outlineLevel="0" max="13" min="13" style="1" width="15"/>
    <col collapsed="false" customWidth="true" hidden="false" outlineLevel="0" max="16" min="16" style="1" width="13.29"/>
    <col collapsed="false" customWidth="true" hidden="false" outlineLevel="0" max="17" min="17" style="1" width="13.72"/>
    <col collapsed="false" customWidth="true" hidden="false" outlineLevel="0" max="18" min="18" style="1" width="15.43"/>
    <col collapsed="false" customWidth="true" hidden="false" outlineLevel="0" max="19" min="19" style="1" width="16.86"/>
    <col collapsed="false" customWidth="true" hidden="false" outlineLevel="0" max="20" min="20" style="1" width="12.29"/>
  </cols>
  <sheetData>
    <row r="1" customFormat="false" ht="15" hidden="false" customHeight="false" outlineLevel="0" collapsed="false">
      <c r="B1" s="2" t="s">
        <v>0</v>
      </c>
      <c r="C1" s="2"/>
      <c r="D1" s="2"/>
      <c r="E1" s="2"/>
      <c r="F1" s="67"/>
    </row>
    <row r="2" customFormat="false" ht="15" hidden="false" customHeight="false" outlineLevel="0" collapsed="false">
      <c r="B2" s="5" t="s">
        <v>3</v>
      </c>
      <c r="C2" s="5"/>
      <c r="D2" s="5"/>
      <c r="F2" s="67"/>
    </row>
    <row r="3" customFormat="false" ht="15" hidden="false" customHeight="false" outlineLevel="0" collapsed="false">
      <c r="B3" s="6" t="s">
        <v>4</v>
      </c>
      <c r="C3" s="7" t="s">
        <v>5</v>
      </c>
      <c r="D3" s="7"/>
    </row>
    <row r="4" customFormat="false" ht="15" hidden="false" customHeight="false" outlineLevel="0" collapsed="false">
      <c r="B4" s="6" t="s">
        <v>8</v>
      </c>
      <c r="C4" s="7" t="s">
        <v>9</v>
      </c>
      <c r="D4" s="7"/>
    </row>
    <row r="5" customFormat="false" ht="15" hidden="false" customHeight="false" outlineLevel="0" collapsed="false">
      <c r="B5" s="6" t="s">
        <v>10</v>
      </c>
      <c r="C5" s="6" t="s">
        <v>11</v>
      </c>
      <c r="D5" s="6" t="s">
        <v>12</v>
      </c>
    </row>
    <row r="6" customFormat="false" ht="15" hidden="false" customHeight="false" outlineLevel="0" collapsed="false">
      <c r="B6" s="6" t="s">
        <v>13</v>
      </c>
      <c r="C6" s="8" t="n">
        <f aca="false">DATE(2019,7,1)</f>
        <v>43647</v>
      </c>
      <c r="D6" s="8" t="n">
        <f aca="false">DATE(2019,12,2)</f>
        <v>43801</v>
      </c>
    </row>
    <row r="7" customFormat="false" ht="15" hidden="false" customHeight="false" outlineLevel="0" collapsed="false">
      <c r="B7" s="6" t="s">
        <v>14</v>
      </c>
      <c r="C7" s="8" t="n">
        <f aca="false">DATE(2019,11,25)</f>
        <v>43794</v>
      </c>
      <c r="D7" s="8" t="n">
        <f aca="false">DATE(2020,5,25)</f>
        <v>43976</v>
      </c>
    </row>
    <row r="8" customFormat="false" ht="15" hidden="false" customHeight="false" outlineLevel="0" collapsed="false">
      <c r="B8" s="6" t="s">
        <v>15</v>
      </c>
      <c r="C8" s="9" t="s">
        <v>16</v>
      </c>
      <c r="D8" s="68"/>
    </row>
    <row r="9" customFormat="false" ht="15" hidden="false" customHeight="false" outlineLevel="0" collapsed="false">
      <c r="B9" s="16" t="s">
        <v>21</v>
      </c>
      <c r="C9" s="69" t="s">
        <v>22</v>
      </c>
      <c r="D9" s="16" t="s">
        <v>73</v>
      </c>
      <c r="E9" s="16" t="s">
        <v>74</v>
      </c>
      <c r="F9" s="16" t="s">
        <v>75</v>
      </c>
    </row>
    <row r="10" customFormat="false" ht="15" hidden="false" customHeight="false" outlineLevel="0" collapsed="false">
      <c r="B10" s="18" t="n">
        <f aca="false">C6+0</f>
        <v>43647</v>
      </c>
      <c r="C10" s="70" t="n">
        <v>4379.75</v>
      </c>
      <c r="D10" s="16" t="n">
        <f aca="false">LN(C10)</f>
        <v>8.38474692411593</v>
      </c>
      <c r="E10" s="16"/>
      <c r="F10" s="16"/>
    </row>
    <row r="11" customFormat="false" ht="15" hidden="false" customHeight="false" outlineLevel="0" collapsed="false">
      <c r="B11" s="18" t="n">
        <f aca="false">B10+7</f>
        <v>43654</v>
      </c>
      <c r="C11" s="70" t="n">
        <v>4423.9302</v>
      </c>
      <c r="D11" s="16" t="n">
        <f aca="false">LN(C11)</f>
        <v>8.39478376550085</v>
      </c>
      <c r="E11" s="16" t="n">
        <f aca="false">LN(C11)</f>
        <v>8.39478376550085</v>
      </c>
      <c r="F11" s="16" t="n">
        <f aca="false">E11-D10</f>
        <v>0.0100368413849186</v>
      </c>
    </row>
    <row r="12" customFormat="false" ht="15" hidden="false" customHeight="false" outlineLevel="0" collapsed="false">
      <c r="B12" s="18" t="n">
        <f aca="false">B11+7</f>
        <v>43661</v>
      </c>
      <c r="C12" s="70" t="n">
        <v>4423.5698</v>
      </c>
      <c r="D12" s="16" t="n">
        <f aca="false">LN(C12)</f>
        <v>8.39470229615918</v>
      </c>
      <c r="E12" s="16" t="n">
        <f aca="false">LN(C12)</f>
        <v>8.39470229615918</v>
      </c>
      <c r="F12" s="16" t="n">
        <f aca="false">E12-D11</f>
        <v>-8.14693416675283E-005</v>
      </c>
    </row>
    <row r="13" customFormat="false" ht="15" hidden="false" customHeight="false" outlineLevel="0" collapsed="false">
      <c r="B13" s="18" t="n">
        <f aca="false">B12+7</f>
        <v>43668</v>
      </c>
      <c r="C13" s="70" t="n">
        <v>4347.0898</v>
      </c>
      <c r="D13" s="16" t="n">
        <f aca="false">LN(C13)</f>
        <v>8.37726188870043</v>
      </c>
      <c r="E13" s="16" t="n">
        <f aca="false">LN(C13)</f>
        <v>8.37726188870043</v>
      </c>
      <c r="F13" s="16" t="n">
        <f aca="false">E13-D12</f>
        <v>-0.0174404074587571</v>
      </c>
    </row>
    <row r="14" customFormat="false" ht="15" hidden="false" customHeight="false" outlineLevel="0" collapsed="false">
      <c r="B14" s="18" t="n">
        <f aca="false">B13+7</f>
        <v>43675</v>
      </c>
      <c r="C14" s="71" t="n">
        <v>4324</v>
      </c>
      <c r="D14" s="16" t="n">
        <f aca="false">LN(C14)</f>
        <v>8.3719361787591</v>
      </c>
      <c r="E14" s="16" t="n">
        <f aca="false">LN(C14)</f>
        <v>8.3719361787591</v>
      </c>
      <c r="F14" s="16" t="n">
        <f aca="false">E14-D13</f>
        <v>-0.00532570994132797</v>
      </c>
    </row>
    <row r="15" customFormat="false" ht="15" hidden="false" customHeight="false" outlineLevel="0" collapsed="false">
      <c r="B15" s="18" t="n">
        <f aca="false">B14+7</f>
        <v>43682</v>
      </c>
      <c r="C15" s="70" t="n">
        <v>4100.02</v>
      </c>
      <c r="D15" s="16" t="n">
        <f aca="false">LN(C15)</f>
        <v>8.31874713072928</v>
      </c>
      <c r="E15" s="16" t="n">
        <f aca="false">LN(C15)</f>
        <v>8.31874713072928</v>
      </c>
      <c r="F15" s="16" t="n">
        <f aca="false">E15-D14</f>
        <v>-0.0531890480298163</v>
      </c>
    </row>
    <row r="16" customFormat="false" ht="15" hidden="false" customHeight="false" outlineLevel="0" collapsed="false">
      <c r="B16" s="18" t="n">
        <f aca="false">B15+7</f>
        <v>43689</v>
      </c>
      <c r="C16" s="70" t="n">
        <v>4036.97</v>
      </c>
      <c r="D16" s="16" t="n">
        <f aca="false">LN(C16)</f>
        <v>8.30324968956449</v>
      </c>
      <c r="E16" s="16" t="n">
        <f aca="false">LN(C16)</f>
        <v>8.30324968956449</v>
      </c>
      <c r="F16" s="16" t="n">
        <f aca="false">E16-D15</f>
        <v>-0.0154974411647899</v>
      </c>
    </row>
    <row r="17" customFormat="false" ht="15" hidden="false" customHeight="false" outlineLevel="0" collapsed="false">
      <c r="B17" s="18" t="n">
        <f aca="false">B16+7</f>
        <v>43696</v>
      </c>
      <c r="C17" s="70" t="n">
        <v>4016.6899</v>
      </c>
      <c r="D17" s="16" t="n">
        <f aca="false">LN(C17)</f>
        <v>8.29821343446633</v>
      </c>
      <c r="E17" s="16" t="n">
        <f aca="false">LN(C17)</f>
        <v>8.29821343446633</v>
      </c>
      <c r="F17" s="16" t="n">
        <f aca="false">E17-D16</f>
        <v>-0.00503625509816352</v>
      </c>
    </row>
    <row r="18" customFormat="false" ht="15" hidden="false" customHeight="false" outlineLevel="0" collapsed="false">
      <c r="B18" s="18" t="n">
        <f aca="false">B17+7</f>
        <v>43703</v>
      </c>
      <c r="C18" s="70" t="n">
        <v>3998</v>
      </c>
      <c r="D18" s="16" t="n">
        <f aca="false">LN(C18)</f>
        <v>8.29354951506035</v>
      </c>
      <c r="E18" s="16" t="n">
        <f aca="false">LN(C18)</f>
        <v>8.29354951506035</v>
      </c>
      <c r="F18" s="16" t="n">
        <f aca="false">E18-D17</f>
        <v>-0.00466391940598321</v>
      </c>
    </row>
    <row r="19" customFormat="false" ht="15" hidden="false" customHeight="false" outlineLevel="0" collapsed="false">
      <c r="B19" s="18" t="n">
        <f aca="false">B18+7</f>
        <v>43710</v>
      </c>
      <c r="C19" s="70" t="n">
        <v>4050.97</v>
      </c>
      <c r="D19" s="16" t="n">
        <f aca="false">LN(C19)</f>
        <v>8.3067116375964</v>
      </c>
      <c r="E19" s="16" t="n">
        <f aca="false">LN(C19)</f>
        <v>8.3067116375964</v>
      </c>
      <c r="F19" s="16" t="n">
        <f aca="false">E19-D18</f>
        <v>0.0131621225360554</v>
      </c>
    </row>
    <row r="20" customFormat="false" ht="15" hidden="false" customHeight="false" outlineLevel="0" collapsed="false">
      <c r="B20" s="18" t="n">
        <f aca="false">B19+7</f>
        <v>43717</v>
      </c>
      <c r="C20" s="70" t="n">
        <v>4064.0801</v>
      </c>
      <c r="D20" s="16" t="n">
        <f aca="false">LN(C20)</f>
        <v>8.30994269870975</v>
      </c>
      <c r="E20" s="16" t="n">
        <f aca="false">LN(C20)</f>
        <v>8.30994269870975</v>
      </c>
      <c r="F20" s="16" t="n">
        <f aca="false">E20-D19</f>
        <v>0.00323106111335392</v>
      </c>
    </row>
    <row r="21" customFormat="false" ht="15" hidden="false" customHeight="false" outlineLevel="0" collapsed="false">
      <c r="B21" s="18" t="n">
        <f aca="false">B20+7</f>
        <v>43724</v>
      </c>
      <c r="C21" s="70" t="n">
        <v>3985.76</v>
      </c>
      <c r="D21" s="16" t="n">
        <f aca="false">LN(C21)</f>
        <v>8.29048328822242</v>
      </c>
      <c r="E21" s="16" t="n">
        <f aca="false">LN(C21)</f>
        <v>8.29048328822242</v>
      </c>
      <c r="F21" s="16" t="n">
        <f aca="false">E21-D20</f>
        <v>-0.0194594104873342</v>
      </c>
    </row>
    <row r="22" customFormat="false" ht="15" hidden="false" customHeight="false" outlineLevel="0" collapsed="false">
      <c r="B22" s="18" t="n">
        <f aca="false">B21+7</f>
        <v>43731</v>
      </c>
      <c r="C22" s="70" t="n">
        <v>4068.6201</v>
      </c>
      <c r="D22" s="16" t="n">
        <f aca="false">LN(C22)</f>
        <v>8.31105917917994</v>
      </c>
      <c r="E22" s="16" t="n">
        <f aca="false">LN(C22)</f>
        <v>8.31105917917994</v>
      </c>
      <c r="F22" s="16" t="n">
        <f aca="false">E22-D21</f>
        <v>0.0205758909575238</v>
      </c>
    </row>
    <row r="23" customFormat="false" ht="15" hidden="false" customHeight="false" outlineLevel="0" collapsed="false">
      <c r="B23" s="18" t="n">
        <f aca="false">B22+7</f>
        <v>43738</v>
      </c>
      <c r="C23" s="70" t="n">
        <v>4010.8999</v>
      </c>
      <c r="D23" s="16" t="n">
        <f aca="false">LN(C23)</f>
        <v>8.29677090908866</v>
      </c>
      <c r="E23" s="16" t="n">
        <f aca="false">LN(C23)</f>
        <v>8.29677090908866</v>
      </c>
      <c r="F23" s="16" t="n">
        <f aca="false">E23-D22</f>
        <v>-0.0142882700912885</v>
      </c>
    </row>
    <row r="24" customFormat="false" ht="15" hidden="false" customHeight="false" outlineLevel="0" collapsed="false">
      <c r="B24" s="18" t="n">
        <f aca="false">B23+7</f>
        <v>43745</v>
      </c>
      <c r="C24" s="70" t="n">
        <v>4129.6802</v>
      </c>
      <c r="D24" s="16" t="n">
        <f aca="false">LN(C24)</f>
        <v>8.32595524954291</v>
      </c>
      <c r="E24" s="16" t="n">
        <f aca="false">LN(C24)</f>
        <v>8.32595524954291</v>
      </c>
      <c r="F24" s="16" t="n">
        <f aca="false">E24-D23</f>
        <v>0.0291843404542576</v>
      </c>
    </row>
    <row r="25" customFormat="false" ht="15" hidden="false" customHeight="false" outlineLevel="0" collapsed="false">
      <c r="B25" s="18" t="n">
        <f aca="false">B24+7</f>
        <v>43752</v>
      </c>
      <c r="C25" s="70" t="n">
        <v>4177.25</v>
      </c>
      <c r="D25" s="16" t="n">
        <f aca="false">LN(C25)</f>
        <v>8.33740841427425</v>
      </c>
      <c r="E25" s="16" t="n">
        <f aca="false">LN(C25)</f>
        <v>8.33740841427425</v>
      </c>
      <c r="F25" s="16" t="n">
        <f aca="false">E25-D24</f>
        <v>0.0114531647313392</v>
      </c>
    </row>
    <row r="26" customFormat="false" ht="15" hidden="false" customHeight="false" outlineLevel="0" collapsed="false">
      <c r="B26" s="18" t="n">
        <f aca="false">B25+7</f>
        <v>43759</v>
      </c>
      <c r="C26" s="70" t="n">
        <v>4166.29</v>
      </c>
      <c r="D26" s="16" t="n">
        <f aca="false">LN(C26)</f>
        <v>8.33478123053596</v>
      </c>
      <c r="E26" s="16" t="n">
        <f aca="false">LN(C26)</f>
        <v>8.33478123053596</v>
      </c>
      <c r="F26" s="16" t="n">
        <f aca="false">E26-D25</f>
        <v>-0.00262718373829607</v>
      </c>
    </row>
    <row r="27" customFormat="false" ht="15" hidden="false" customHeight="false" outlineLevel="0" collapsed="false">
      <c r="B27" s="18" t="n">
        <f aca="false">B26+7</f>
        <v>43766</v>
      </c>
      <c r="C27" s="70" t="n">
        <v>4172.29</v>
      </c>
      <c r="D27" s="16" t="n">
        <f aca="false">LN(C27)</f>
        <v>8.33622032473077</v>
      </c>
      <c r="E27" s="16" t="n">
        <f aca="false">LN(C27)</f>
        <v>8.33622032473077</v>
      </c>
      <c r="F27" s="16" t="n">
        <f aca="false">E27-D26</f>
        <v>0.00143909419481503</v>
      </c>
    </row>
    <row r="28" customFormat="false" ht="15" hidden="false" customHeight="false" outlineLevel="0" collapsed="false">
      <c r="B28" s="18" t="n">
        <f aca="false">B27+7</f>
        <v>43773</v>
      </c>
      <c r="C28" s="70" t="n">
        <v>4170.8901</v>
      </c>
      <c r="D28" s="16" t="n">
        <f aca="false">LN(C28)</f>
        <v>8.33588474525236</v>
      </c>
      <c r="E28" s="16" t="n">
        <f aca="false">LN(C28)</f>
        <v>8.33588474525236</v>
      </c>
      <c r="F28" s="16" t="n">
        <f aca="false">E28-D27</f>
        <v>-0.000335579478415227</v>
      </c>
    </row>
    <row r="29" customFormat="false" ht="15" hidden="false" customHeight="false" outlineLevel="0" collapsed="false">
      <c r="B29" s="18" t="n">
        <f aca="false">B28+7</f>
        <v>43780</v>
      </c>
      <c r="C29" s="70" t="n">
        <v>4119.8398</v>
      </c>
      <c r="D29" s="16" t="n">
        <f aca="false">LN(C29)</f>
        <v>8.32356955809244</v>
      </c>
      <c r="E29" s="16" t="n">
        <f aca="false">LN(C29)</f>
        <v>8.32356955809244</v>
      </c>
      <c r="F29" s="16" t="n">
        <f aca="false">E29-D28</f>
        <v>-0.0123151871599116</v>
      </c>
    </row>
    <row r="30" customFormat="false" ht="15" hidden="false" customHeight="false" outlineLevel="0" collapsed="false">
      <c r="B30" s="18" t="n">
        <f aca="false">B29+7</f>
        <v>43787</v>
      </c>
      <c r="C30" s="70" t="n">
        <v>4033.22</v>
      </c>
      <c r="D30" s="16" t="n">
        <f aca="false">LN(C30)</f>
        <v>8.30232034334838</v>
      </c>
      <c r="E30" s="16" t="n">
        <f aca="false">LN(C30)</f>
        <v>8.30232034334838</v>
      </c>
      <c r="F30" s="16" t="n">
        <f aca="false">E30-D29</f>
        <v>-0.0212492147440653</v>
      </c>
    </row>
    <row r="31" customFormat="false" ht="15" hidden="false" customHeight="false" outlineLevel="0" collapsed="false">
      <c r="B31" s="18" t="n">
        <f aca="false">B30+7</f>
        <v>43794</v>
      </c>
      <c r="C31" s="70" t="n">
        <v>4043.6001</v>
      </c>
      <c r="D31" s="16" t="n">
        <f aca="false">LN(C31)</f>
        <v>8.30489068801034</v>
      </c>
      <c r="E31" s="16" t="n">
        <f aca="false">LN(C31)</f>
        <v>8.30489068801034</v>
      </c>
      <c r="F31" s="16" t="n">
        <f aca="false">E31-D30</f>
        <v>0.0025703446619616</v>
      </c>
    </row>
    <row r="32" customFormat="false" ht="15" hidden="false" customHeight="false" outlineLevel="0" collapsed="false">
      <c r="B32" s="20" t="n">
        <f aca="false">D6</f>
        <v>43801</v>
      </c>
      <c r="C32" s="72" t="n">
        <v>4099.8799</v>
      </c>
      <c r="D32" s="73" t="n">
        <f aca="false">LN(C32)</f>
        <v>8.31871295958043</v>
      </c>
      <c r="E32" s="73" t="n">
        <f aca="false">LN(C32)</f>
        <v>8.31871295958043</v>
      </c>
      <c r="F32" s="73" t="n">
        <f aca="false">E32-D31</f>
        <v>0.013822271570092</v>
      </c>
    </row>
    <row r="33" customFormat="false" ht="15" hidden="false" customHeight="false" outlineLevel="0" collapsed="false">
      <c r="B33" s="20" t="n">
        <f aca="false">B32+7</f>
        <v>43808</v>
      </c>
      <c r="C33" s="72" t="n">
        <v>4193.9399</v>
      </c>
      <c r="D33" s="13" t="n">
        <f aca="false">LN(C33)</f>
        <v>8.34139588136396</v>
      </c>
      <c r="E33" s="13" t="n">
        <f aca="false">LN(C33)</f>
        <v>8.34139588136396</v>
      </c>
      <c r="F33" s="13" t="n">
        <f aca="false">E33-D32</f>
        <v>0.0226829217835256</v>
      </c>
    </row>
    <row r="34" customFormat="false" ht="15" hidden="false" customHeight="false" outlineLevel="0" collapsed="false">
      <c r="B34" s="20" t="n">
        <f aca="false">B33+7</f>
        <v>43815</v>
      </c>
      <c r="C34" s="72" t="n">
        <v>4139.54</v>
      </c>
      <c r="D34" s="13" t="n">
        <f aca="false">LN(C34)</f>
        <v>8.32833994953495</v>
      </c>
      <c r="E34" s="13" t="n">
        <f aca="false">LN(C34)</f>
        <v>8.32833994953495</v>
      </c>
      <c r="F34" s="13" t="n">
        <f aca="false">E34-D33</f>
        <v>-0.0130559318290064</v>
      </c>
    </row>
    <row r="35" customFormat="false" ht="15" hidden="false" customHeight="false" outlineLevel="0" collapsed="false">
      <c r="B35" s="20" t="n">
        <f aca="false">B34+7</f>
        <v>43822</v>
      </c>
      <c r="C35" s="72" t="n">
        <v>4154.52</v>
      </c>
      <c r="D35" s="13" t="n">
        <f aca="false">LN(C35)</f>
        <v>8.3319521771505</v>
      </c>
      <c r="E35" s="13" t="n">
        <f aca="false">LN(C35)</f>
        <v>8.3319521771505</v>
      </c>
      <c r="F35" s="13" t="n">
        <f aca="false">E35-D34</f>
        <v>0.00361222761554281</v>
      </c>
    </row>
    <row r="36" customFormat="false" ht="15" hidden="false" customHeight="false" outlineLevel="0" collapsed="false">
      <c r="B36" s="20" t="n">
        <f aca="false">B35+7</f>
        <v>43829</v>
      </c>
      <c r="C36" s="72" t="n">
        <v>4173.6699</v>
      </c>
      <c r="D36" s="13" t="n">
        <f aca="false">LN(C36)</f>
        <v>8.33655099969904</v>
      </c>
      <c r="E36" s="13" t="n">
        <f aca="false">LN(C36)</f>
        <v>8.33655099969904</v>
      </c>
      <c r="F36" s="13" t="n">
        <f aca="false">E36-D35</f>
        <v>0.00459882254854982</v>
      </c>
    </row>
    <row r="37" customFormat="false" ht="15" hidden="false" customHeight="false" outlineLevel="0" collapsed="false">
      <c r="B37" s="20" t="n">
        <f aca="false">B36+7</f>
        <v>43836</v>
      </c>
      <c r="C37" s="72" t="n">
        <v>4112.3398</v>
      </c>
      <c r="D37" s="13" t="n">
        <f aca="false">LN(C37)</f>
        <v>8.32174743990759</v>
      </c>
      <c r="E37" s="13" t="n">
        <f aca="false">LN(C37)</f>
        <v>8.32174743990759</v>
      </c>
      <c r="F37" s="13" t="n">
        <f aca="false">E37-D36</f>
        <v>-0.0148035597914546</v>
      </c>
    </row>
    <row r="38" customFormat="false" ht="15" hidden="false" customHeight="false" outlineLevel="0" collapsed="false">
      <c r="B38" s="20" t="n">
        <f aca="false">B37+7</f>
        <v>43843</v>
      </c>
      <c r="C38" s="72" t="n">
        <v>4035.78</v>
      </c>
      <c r="D38" s="13" t="n">
        <f aca="false">LN(C38)</f>
        <v>8.30295487057255</v>
      </c>
      <c r="E38" s="13" t="n">
        <f aca="false">LN(C38)</f>
        <v>8.30295487057255</v>
      </c>
      <c r="F38" s="13" t="n">
        <f aca="false">E38-D37</f>
        <v>-0.0187925693350444</v>
      </c>
    </row>
    <row r="39" customFormat="false" ht="15" hidden="false" customHeight="false" outlineLevel="0" collapsed="false">
      <c r="B39" s="20" t="n">
        <f aca="false">B38+7</f>
        <v>43850</v>
      </c>
      <c r="C39" s="72" t="n">
        <v>3962.3201</v>
      </c>
      <c r="D39" s="13" t="n">
        <f aca="false">LN(C39)</f>
        <v>8.28458501652398</v>
      </c>
      <c r="E39" s="13" t="n">
        <f aca="false">LN(C39)</f>
        <v>8.28458501652398</v>
      </c>
      <c r="F39" s="13" t="n">
        <f aca="false">E39-D38</f>
        <v>-0.0183698540485633</v>
      </c>
    </row>
    <row r="40" customFormat="false" ht="15" hidden="false" customHeight="false" outlineLevel="0" collapsed="false">
      <c r="B40" s="20" t="n">
        <f aca="false">B39+7</f>
        <v>43857</v>
      </c>
      <c r="C40" s="72" t="n">
        <v>3838.74</v>
      </c>
      <c r="D40" s="13" t="n">
        <f aca="false">LN(C40)</f>
        <v>8.25289946673699</v>
      </c>
      <c r="E40" s="13" t="n">
        <f aca="false">LN(C40)</f>
        <v>8.25289946673699</v>
      </c>
      <c r="F40" s="13" t="n">
        <f aca="false">E40-D39</f>
        <v>-0.0316855497869959</v>
      </c>
    </row>
    <row r="41" customFormat="false" ht="15" hidden="false" customHeight="false" outlineLevel="0" collapsed="false">
      <c r="B41" s="20" t="n">
        <f aca="false">B40+7</f>
        <v>43864</v>
      </c>
      <c r="C41" s="72" t="n">
        <v>4036.8</v>
      </c>
      <c r="D41" s="13" t="n">
        <f aca="false">LN(C41)</f>
        <v>8.30320757788679</v>
      </c>
      <c r="E41" s="13" t="n">
        <f aca="false">LN(C41)</f>
        <v>8.30320757788679</v>
      </c>
      <c r="F41" s="13" t="n">
        <f aca="false">E41-D40</f>
        <v>0.0503081111498069</v>
      </c>
    </row>
    <row r="42" customFormat="false" ht="15" hidden="false" customHeight="false" outlineLevel="0" collapsed="false">
      <c r="B42" s="20" t="n">
        <f aca="false">B41+7</f>
        <v>43871</v>
      </c>
      <c r="C42" s="72" t="n">
        <v>3928.6499</v>
      </c>
      <c r="D42" s="13" t="n">
        <f aca="false">LN(C42)</f>
        <v>8.27605110894532</v>
      </c>
      <c r="E42" s="13" t="n">
        <f aca="false">LN(C42)</f>
        <v>8.27605110894532</v>
      </c>
      <c r="F42" s="13" t="n">
        <f aca="false">E42-D41</f>
        <v>-0.0271564689414774</v>
      </c>
    </row>
    <row r="43" customFormat="false" ht="15" hidden="false" customHeight="false" outlineLevel="0" collapsed="false">
      <c r="B43" s="20" t="n">
        <f aca="false">B42+7</f>
        <v>43878</v>
      </c>
      <c r="C43" s="72" t="n">
        <v>3944.75</v>
      </c>
      <c r="D43" s="13" t="n">
        <f aca="false">LN(C43)</f>
        <v>8.28014085991578</v>
      </c>
      <c r="E43" s="13" t="n">
        <f aca="false">LN(C43)</f>
        <v>8.28014085991578</v>
      </c>
      <c r="F43" s="13" t="n">
        <f aca="false">E43-D42</f>
        <v>0.00408975097046316</v>
      </c>
    </row>
    <row r="44" customFormat="false" ht="15" hidden="false" customHeight="false" outlineLevel="0" collapsed="false">
      <c r="B44" s="20" t="n">
        <f aca="false">B43+7</f>
        <v>43885</v>
      </c>
      <c r="C44" s="72" t="n">
        <v>3633.1799</v>
      </c>
      <c r="D44" s="13" t="n">
        <f aca="false">LN(C44)</f>
        <v>8.19786354929964</v>
      </c>
      <c r="E44" s="13" t="n">
        <f aca="false">LN(C44)</f>
        <v>8.19786354929964</v>
      </c>
      <c r="F44" s="13" t="n">
        <f aca="false">E44-D43</f>
        <v>-0.0822773106161368</v>
      </c>
    </row>
    <row r="45" customFormat="false" ht="15" hidden="false" customHeight="false" outlineLevel="0" collapsed="false">
      <c r="B45" s="20" t="n">
        <f aca="false">B44+7</f>
        <v>43892</v>
      </c>
      <c r="C45" s="72" t="n">
        <v>3684.8701</v>
      </c>
      <c r="D45" s="13" t="n">
        <f aca="false">LN(C45)</f>
        <v>8.21199055298447</v>
      </c>
      <c r="E45" s="13" t="n">
        <f aca="false">LN(C45)</f>
        <v>8.21199055298447</v>
      </c>
      <c r="F45" s="13" t="n">
        <f aca="false">E45-D44</f>
        <v>0.0141270036848233</v>
      </c>
    </row>
    <row r="46" customFormat="false" ht="15" hidden="false" customHeight="false" outlineLevel="0" collapsed="false">
      <c r="B46" s="20" t="n">
        <f aca="false">B45+7</f>
        <v>43899</v>
      </c>
      <c r="C46" s="72" t="n">
        <v>2985.3999</v>
      </c>
      <c r="D46" s="13" t="n">
        <f aca="false">LN(C46)</f>
        <v>8.00148898670279</v>
      </c>
      <c r="E46" s="13" t="n">
        <f aca="false">LN(C46)</f>
        <v>8.00148898670279</v>
      </c>
      <c r="F46" s="13" t="n">
        <f aca="false">E46-D45</f>
        <v>-0.210501566281677</v>
      </c>
    </row>
    <row r="47" customFormat="false" ht="15" hidden="false" customHeight="false" outlineLevel="0" collapsed="false">
      <c r="B47" s="20" t="n">
        <f aca="false">B46+7</f>
        <v>43906</v>
      </c>
      <c r="C47" s="72" t="n">
        <v>2468.3301</v>
      </c>
      <c r="D47" s="13" t="n">
        <f aca="false">LN(C47)</f>
        <v>7.81129712810721</v>
      </c>
      <c r="E47" s="13" t="n">
        <f aca="false">LN(C47)</f>
        <v>7.81129712810721</v>
      </c>
      <c r="F47" s="13" t="n">
        <f aca="false">E47-D46</f>
        <v>-0.190191858595584</v>
      </c>
    </row>
    <row r="48" customFormat="false" ht="15" hidden="false" customHeight="false" outlineLevel="0" collapsed="false">
      <c r="B48" s="20" t="n">
        <f aca="false">B47+7</f>
        <v>43913</v>
      </c>
      <c r="C48" s="72" t="n">
        <v>2781.1499</v>
      </c>
      <c r="D48" s="13" t="n">
        <f aca="false">LN(C48)</f>
        <v>7.93061975425562</v>
      </c>
      <c r="E48" s="13" t="n">
        <f aca="false">LN(C48)</f>
        <v>7.93061975425562</v>
      </c>
      <c r="F48" s="13" t="n">
        <f aca="false">E48-D47</f>
        <v>0.119322626148417</v>
      </c>
    </row>
    <row r="49" customFormat="false" ht="15" hidden="false" customHeight="false" outlineLevel="0" collapsed="false">
      <c r="B49" s="20" t="n">
        <f aca="false">B48+7</f>
        <v>43920</v>
      </c>
      <c r="C49" s="72" t="n">
        <v>2824.1599</v>
      </c>
      <c r="D49" s="13" t="n">
        <f aca="false">LN(C49)</f>
        <v>7.94596621882321</v>
      </c>
      <c r="E49" s="13" t="n">
        <f aca="false">LN(C49)</f>
        <v>7.94596621882321</v>
      </c>
      <c r="F49" s="13" t="n">
        <f aca="false">E49-D48</f>
        <v>0.0153464645675871</v>
      </c>
    </row>
    <row r="50" customFormat="false" ht="15" hidden="false" customHeight="false" outlineLevel="0" collapsed="false">
      <c r="B50" s="20" t="n">
        <f aca="false">B49+7</f>
        <v>43927</v>
      </c>
      <c r="C50" s="72" t="n">
        <v>2838.3999</v>
      </c>
      <c r="D50" s="13" t="n">
        <f aca="false">LN(C50)</f>
        <v>7.95099575688414</v>
      </c>
      <c r="E50" s="13" t="n">
        <f aca="false">LN(C50)</f>
        <v>7.95099575688414</v>
      </c>
      <c r="F50" s="13" t="n">
        <f aca="false">E50-D49</f>
        <v>0.00502953806093398</v>
      </c>
    </row>
    <row r="51" customFormat="false" ht="15" hidden="false" customHeight="false" outlineLevel="0" collapsed="false">
      <c r="B51" s="20" t="n">
        <f aca="false">B50+7</f>
        <v>43934</v>
      </c>
      <c r="C51" s="72" t="n">
        <v>2963.6899</v>
      </c>
      <c r="D51" s="13" t="n">
        <f aca="false">LN(C51)</f>
        <v>7.99419035881045</v>
      </c>
      <c r="E51" s="13" t="n">
        <f aca="false">LN(C51)</f>
        <v>7.99419035881045</v>
      </c>
      <c r="F51" s="13" t="n">
        <f aca="false">E51-D50</f>
        <v>0.0431946019263032</v>
      </c>
    </row>
    <row r="52" customFormat="false" ht="15" hidden="false" customHeight="false" outlineLevel="0" collapsed="false">
      <c r="B52" s="20" t="n">
        <f aca="false">B51+7</f>
        <v>43941</v>
      </c>
      <c r="C52" s="72" t="n">
        <v>2715.46</v>
      </c>
      <c r="D52" s="13" t="n">
        <f aca="false">LN(C52)</f>
        <v>7.90671664711415</v>
      </c>
      <c r="E52" s="13" t="n">
        <f aca="false">LN(C52)</f>
        <v>7.90671664711415</v>
      </c>
      <c r="F52" s="13" t="n">
        <f aca="false">E52-D51</f>
        <v>-0.087473711696294</v>
      </c>
    </row>
    <row r="53" customFormat="false" ht="15" hidden="false" customHeight="false" outlineLevel="0" collapsed="false">
      <c r="B53" s="20" t="n">
        <f aca="false">B52+7</f>
        <v>43948</v>
      </c>
      <c r="C53" s="72" t="n">
        <v>2921.9199</v>
      </c>
      <c r="D53" s="13" t="n">
        <f aca="false">LN(C53)</f>
        <v>7.9799961792039</v>
      </c>
      <c r="E53" s="13" t="n">
        <f aca="false">LN(C53)</f>
        <v>7.9799961792039</v>
      </c>
      <c r="F53" s="13" t="n">
        <f aca="false">E53-D52</f>
        <v>0.0732795320897504</v>
      </c>
    </row>
    <row r="54" customFormat="false" ht="15" hidden="false" customHeight="false" outlineLevel="0" collapsed="false">
      <c r="B54" s="20" t="n">
        <f aca="false">B53+7</f>
        <v>43955</v>
      </c>
      <c r="C54" s="72" t="n">
        <v>2934.97</v>
      </c>
      <c r="D54" s="13" t="n">
        <f aca="false">LN(C54)</f>
        <v>7.98445251074488</v>
      </c>
      <c r="E54" s="13" t="n">
        <f aca="false">LN(C54)</f>
        <v>7.98445251074488</v>
      </c>
      <c r="F54" s="13" t="n">
        <f aca="false">E54-D53</f>
        <v>0.00445633154097713</v>
      </c>
    </row>
    <row r="55" customFormat="false" ht="15" hidden="false" customHeight="false" outlineLevel="0" collapsed="false">
      <c r="B55" s="20" t="n">
        <f aca="false">B54+7</f>
        <v>43962</v>
      </c>
      <c r="C55" s="72" t="n">
        <v>2838.3999</v>
      </c>
      <c r="D55" s="13" t="n">
        <f aca="false">LN(C55)</f>
        <v>7.95099575688414</v>
      </c>
      <c r="E55" s="13" t="n">
        <f aca="false">LN(C55)</f>
        <v>7.95099575688414</v>
      </c>
      <c r="F55" s="13" t="n">
        <f aca="false">E55-D54</f>
        <v>-0.0334567538607367</v>
      </c>
    </row>
    <row r="56" customFormat="false" ht="15" hidden="false" customHeight="false" outlineLevel="0" collapsed="false">
      <c r="B56" s="20" t="n">
        <f aca="false">B55+7</f>
        <v>43969</v>
      </c>
      <c r="C56" s="72" t="n">
        <v>2815.6499</v>
      </c>
      <c r="D56" s="13" t="n">
        <f aca="false">LN(C56)</f>
        <v>7.94294838426481</v>
      </c>
      <c r="E56" s="13" t="n">
        <f aca="false">LN(C56)</f>
        <v>7.94294838426481</v>
      </c>
      <c r="F56" s="13" t="n">
        <f aca="false">E56-D55</f>
        <v>-0.00804737261933042</v>
      </c>
    </row>
    <row r="57" customFormat="false" ht="15" hidden="false" customHeight="false" outlineLevel="0" collapsed="false">
      <c r="B57" s="20" t="n">
        <f aca="false">B56+7</f>
        <v>43976</v>
      </c>
      <c r="C57" s="72" t="n">
        <v>2785.8999</v>
      </c>
      <c r="D57" s="13"/>
      <c r="E57" s="13" t="n">
        <f aca="false">LN(C57)</f>
        <v>7.93232622404602</v>
      </c>
      <c r="F57" s="13" t="n">
        <f aca="false">E57-D56</f>
        <v>-0.010622160218789</v>
      </c>
    </row>
    <row r="64" customFormat="false" ht="15" hidden="false" customHeight="false" outlineLevel="0" collapsed="false">
      <c r="B64" s="2" t="s">
        <v>1</v>
      </c>
      <c r="C64" s="2"/>
      <c r="D64" s="2"/>
      <c r="E64" s="2"/>
      <c r="F64" s="74"/>
    </row>
    <row r="65" customFormat="false" ht="15" hidden="false" customHeight="false" outlineLevel="0" collapsed="false">
      <c r="B65" s="5" t="s">
        <v>3</v>
      </c>
      <c r="C65" s="5"/>
      <c r="D65" s="5"/>
      <c r="F65" s="67"/>
    </row>
    <row r="66" customFormat="false" ht="15" hidden="false" customHeight="false" outlineLevel="0" collapsed="false">
      <c r="B66" s="6" t="s">
        <v>4</v>
      </c>
      <c r="C66" s="7" t="s">
        <v>6</v>
      </c>
      <c r="D66" s="7"/>
    </row>
    <row r="67" customFormat="false" ht="15" hidden="false" customHeight="false" outlineLevel="0" collapsed="false">
      <c r="B67" s="6" t="s">
        <v>8</v>
      </c>
      <c r="C67" s="7" t="s">
        <v>9</v>
      </c>
      <c r="D67" s="7"/>
    </row>
    <row r="68" customFormat="false" ht="15" hidden="false" customHeight="false" outlineLevel="0" collapsed="false">
      <c r="B68" s="6" t="s">
        <v>10</v>
      </c>
      <c r="C68" s="6" t="s">
        <v>11</v>
      </c>
      <c r="D68" s="6" t="s">
        <v>12</v>
      </c>
    </row>
    <row r="69" customFormat="false" ht="15" hidden="false" customHeight="false" outlineLevel="0" collapsed="false">
      <c r="B69" s="6" t="s">
        <v>13</v>
      </c>
      <c r="C69" s="8" t="n">
        <f aca="false">DATE(2019,7,1)</f>
        <v>43647</v>
      </c>
      <c r="D69" s="8" t="n">
        <f aca="false">DATE(2019,12,2)</f>
        <v>43801</v>
      </c>
    </row>
    <row r="70" customFormat="false" ht="15" hidden="false" customHeight="false" outlineLevel="0" collapsed="false">
      <c r="B70" s="6" t="s">
        <v>14</v>
      </c>
      <c r="C70" s="8" t="n">
        <f aca="false">DATE(2019,11,25)</f>
        <v>43794</v>
      </c>
      <c r="D70" s="8" t="n">
        <f aca="false">DATE(2020,5,25)</f>
        <v>43976</v>
      </c>
    </row>
    <row r="71" customFormat="false" ht="15" hidden="false" customHeight="false" outlineLevel="0" collapsed="false">
      <c r="B71" s="6" t="s">
        <v>15</v>
      </c>
      <c r="C71" s="10" t="s">
        <v>17</v>
      </c>
      <c r="D71" s="75"/>
    </row>
    <row r="72" customFormat="false" ht="15" hidden="false" customHeight="false" outlineLevel="0" collapsed="false">
      <c r="B72" s="16" t="s">
        <v>21</v>
      </c>
      <c r="C72" s="69" t="s">
        <v>22</v>
      </c>
      <c r="D72" s="16" t="s">
        <v>76</v>
      </c>
      <c r="E72" s="16" t="s">
        <v>74</v>
      </c>
      <c r="F72" s="16" t="s">
        <v>75</v>
      </c>
    </row>
    <row r="73" customFormat="false" ht="15" hidden="false" customHeight="false" outlineLevel="0" collapsed="false">
      <c r="B73" s="18" t="n">
        <f aca="false">C69+0</f>
        <v>43647</v>
      </c>
      <c r="C73" s="70" t="n">
        <v>7439.29</v>
      </c>
      <c r="D73" s="16" t="n">
        <f aca="false">LN(C73)</f>
        <v>8.91453069316587</v>
      </c>
      <c r="E73" s="16"/>
      <c r="F73" s="16"/>
    </row>
    <row r="74" customFormat="false" ht="15" hidden="false" customHeight="false" outlineLevel="0" collapsed="false">
      <c r="B74" s="18" t="n">
        <f aca="false">B73+7</f>
        <v>43654</v>
      </c>
      <c r="C74" s="70" t="n">
        <v>7437.16</v>
      </c>
      <c r="D74" s="16" t="n">
        <f aca="false">LN(C74)</f>
        <v>8.91424433452324</v>
      </c>
      <c r="E74" s="16" t="n">
        <f aca="false">LN(C74)</f>
        <v>8.91424433452324</v>
      </c>
      <c r="F74" s="16" t="n">
        <f aca="false">E74-D73</f>
        <v>-0.000286358642627604</v>
      </c>
    </row>
    <row r="75" customFormat="false" ht="15" hidden="false" customHeight="false" outlineLevel="0" collapsed="false">
      <c r="B75" s="18" t="n">
        <f aca="false">B74+7</f>
        <v>43661</v>
      </c>
      <c r="C75" s="70" t="n">
        <v>8126.27</v>
      </c>
      <c r="D75" s="16" t="n">
        <f aca="false">LN(C75)</f>
        <v>9.00285730267547</v>
      </c>
      <c r="E75" s="16" t="n">
        <f aca="false">LN(C75)</f>
        <v>9.00285730267547</v>
      </c>
      <c r="F75" s="16" t="n">
        <f aca="false">E75-D74</f>
        <v>0.0886129681522299</v>
      </c>
    </row>
    <row r="76" customFormat="false" ht="15" hidden="false" customHeight="false" outlineLevel="0" collapsed="false">
      <c r="B76" s="18" t="n">
        <f aca="false">B75+7</f>
        <v>43668</v>
      </c>
      <c r="C76" s="70" t="n">
        <v>7870.97</v>
      </c>
      <c r="D76" s="16" t="n">
        <f aca="false">LN(C76)</f>
        <v>8.9709365866754</v>
      </c>
      <c r="E76" s="16" t="n">
        <f aca="false">LN(C76)</f>
        <v>8.9709365866754</v>
      </c>
      <c r="F76" s="16" t="n">
        <f aca="false">E76-D75</f>
        <v>-0.031920716000073</v>
      </c>
    </row>
    <row r="77" customFormat="false" ht="15" hidden="false" customHeight="false" outlineLevel="0" collapsed="false">
      <c r="B77" s="18" t="n">
        <f aca="false">B76+7</f>
        <v>43675</v>
      </c>
      <c r="C77" s="70" t="n">
        <v>8101.47</v>
      </c>
      <c r="D77" s="16" t="n">
        <f aca="false">LN(C77)</f>
        <v>8.99980080567624</v>
      </c>
      <c r="E77" s="16" t="n">
        <f aca="false">LN(C77)</f>
        <v>8.99980080567624</v>
      </c>
      <c r="F77" s="16" t="n">
        <f aca="false">E77-D76</f>
        <v>0.028864219000841</v>
      </c>
    </row>
    <row r="78" customFormat="false" ht="15" hidden="false" customHeight="false" outlineLevel="0" collapsed="false">
      <c r="B78" s="18" t="n">
        <f aca="false">B77+7</f>
        <v>43682</v>
      </c>
      <c r="C78" s="70" t="n">
        <v>8152.22</v>
      </c>
      <c r="D78" s="16" t="n">
        <f aca="false">LN(C78)</f>
        <v>9.00604556178081</v>
      </c>
      <c r="E78" s="16" t="n">
        <f aca="false">LN(C78)</f>
        <v>9.00604556178081</v>
      </c>
      <c r="F78" s="16" t="n">
        <f aca="false">E78-D77</f>
        <v>0.00624475610456798</v>
      </c>
    </row>
    <row r="79" customFormat="false" ht="15" hidden="false" customHeight="false" outlineLevel="0" collapsed="false">
      <c r="B79" s="18" t="n">
        <f aca="false">B78+7</f>
        <v>43689</v>
      </c>
      <c r="C79" s="70" t="n">
        <v>8051.19</v>
      </c>
      <c r="D79" s="16" t="n">
        <f aca="false">LN(C79)</f>
        <v>8.99357518557437</v>
      </c>
      <c r="E79" s="16" t="n">
        <f aca="false">LN(C79)</f>
        <v>8.99357518557437</v>
      </c>
      <c r="F79" s="16" t="n">
        <f aca="false">E79-D78</f>
        <v>-0.0124703762064406</v>
      </c>
    </row>
    <row r="80" customFormat="false" ht="15" hidden="false" customHeight="false" outlineLevel="0" collapsed="false">
      <c r="B80" s="18" t="n">
        <f aca="false">B79+7</f>
        <v>43696</v>
      </c>
      <c r="C80" s="70" t="n">
        <v>8074</v>
      </c>
      <c r="D80" s="16" t="n">
        <f aca="false">LN(C80)</f>
        <v>8.99640430141289</v>
      </c>
      <c r="E80" s="16" t="n">
        <f aca="false">LN(C80)</f>
        <v>8.99640430141289</v>
      </c>
      <c r="F80" s="16" t="n">
        <f aca="false">E80-D79</f>
        <v>0.00282911583851941</v>
      </c>
    </row>
    <row r="81" customFormat="false" ht="15" hidden="false" customHeight="false" outlineLevel="0" collapsed="false">
      <c r="B81" s="18" t="n">
        <f aca="false">B80+7</f>
        <v>43703</v>
      </c>
      <c r="C81" s="70" t="n">
        <v>8250.52</v>
      </c>
      <c r="D81" s="16" t="n">
        <f aca="false">LN(C81)</f>
        <v>9.01803150764543</v>
      </c>
      <c r="E81" s="16" t="n">
        <f aca="false">LN(C81)</f>
        <v>9.01803150764543</v>
      </c>
      <c r="F81" s="16" t="n">
        <f aca="false">E81-D80</f>
        <v>0.0216272062325444</v>
      </c>
    </row>
    <row r="82" customFormat="false" ht="15" hidden="false" customHeight="false" outlineLevel="0" collapsed="false">
      <c r="B82" s="18" t="n">
        <f aca="false">B81+7</f>
        <v>43710</v>
      </c>
      <c r="C82" s="70" t="n">
        <v>9269.45</v>
      </c>
      <c r="D82" s="16" t="n">
        <f aca="false">LN(C82)</f>
        <v>9.1344793256239</v>
      </c>
      <c r="E82" s="16" t="n">
        <f aca="false">LN(C82)</f>
        <v>9.1344793256239</v>
      </c>
      <c r="F82" s="16" t="n">
        <f aca="false">E82-D81</f>
        <v>0.116447817978472</v>
      </c>
    </row>
    <row r="83" customFormat="false" ht="15" hidden="false" customHeight="false" outlineLevel="0" collapsed="false">
      <c r="B83" s="18" t="n">
        <f aca="false">B82+7</f>
        <v>43717</v>
      </c>
      <c r="C83" s="70" t="n">
        <v>9591.46</v>
      </c>
      <c r="D83" s="16" t="n">
        <f aca="false">LN(C83)</f>
        <v>9.16862839820852</v>
      </c>
      <c r="E83" s="16" t="n">
        <f aca="false">LN(C83)</f>
        <v>9.16862839820852</v>
      </c>
      <c r="F83" s="16" t="n">
        <f aca="false">E83-D82</f>
        <v>0.0341490725846221</v>
      </c>
    </row>
    <row r="84" customFormat="false" ht="15" hidden="false" customHeight="false" outlineLevel="0" collapsed="false">
      <c r="B84" s="18" t="n">
        <f aca="false">B83+7</f>
        <v>43724</v>
      </c>
      <c r="C84" s="70" t="n">
        <v>9375.03</v>
      </c>
      <c r="D84" s="16" t="n">
        <f aca="false">LN(C84)</f>
        <v>9.14580505083349</v>
      </c>
      <c r="E84" s="16" t="n">
        <f aca="false">LN(C84)</f>
        <v>9.14580505083349</v>
      </c>
      <c r="F84" s="16" t="n">
        <f aca="false">E84-D83</f>
        <v>-0.0228233473750326</v>
      </c>
    </row>
    <row r="85" customFormat="false" ht="15" hidden="false" customHeight="false" outlineLevel="0" collapsed="false">
      <c r="B85" s="18" t="n">
        <f aca="false">B84+7</f>
        <v>43731</v>
      </c>
      <c r="C85" s="70" t="n">
        <v>8968.4</v>
      </c>
      <c r="D85" s="16" t="n">
        <f aca="false">LN(C85)</f>
        <v>9.10146256679032</v>
      </c>
      <c r="E85" s="16" t="n">
        <f aca="false">LN(C85)</f>
        <v>9.10146256679032</v>
      </c>
      <c r="F85" s="16" t="n">
        <f aca="false">E85-D84</f>
        <v>-0.0443424840431756</v>
      </c>
    </row>
    <row r="86" customFormat="false" ht="15" hidden="false" customHeight="false" outlineLevel="0" collapsed="false">
      <c r="B86" s="18" t="n">
        <f aca="false">B85+7</f>
        <v>43738</v>
      </c>
      <c r="C86" s="70" t="n">
        <v>8843.07</v>
      </c>
      <c r="D86" s="16" t="n">
        <f aca="false">LN(C86)</f>
        <v>9.08738938041006</v>
      </c>
      <c r="E86" s="16" t="n">
        <f aca="false">LN(C86)</f>
        <v>9.08738938041006</v>
      </c>
      <c r="F86" s="16" t="n">
        <f aca="false">E86-D85</f>
        <v>-0.014073186380255</v>
      </c>
    </row>
    <row r="87" customFormat="false" ht="15" hidden="false" customHeight="false" outlineLevel="0" collapsed="false">
      <c r="B87" s="18" t="n">
        <f aca="false">B86+7</f>
        <v>43745</v>
      </c>
      <c r="C87" s="70" t="n">
        <v>9178.36</v>
      </c>
      <c r="D87" s="16" t="n">
        <f aca="false">LN(C87)</f>
        <v>9.12460381841739</v>
      </c>
      <c r="E87" s="16" t="n">
        <f aca="false">LN(C87)</f>
        <v>9.12460381841739</v>
      </c>
      <c r="F87" s="16" t="n">
        <f aca="false">E87-D86</f>
        <v>0.0372144380073269</v>
      </c>
    </row>
    <row r="88" customFormat="false" ht="15" hidden="false" customHeight="false" outlineLevel="0" collapsed="false">
      <c r="B88" s="18" t="n">
        <f aca="false">B87+7</f>
        <v>43752</v>
      </c>
      <c r="C88" s="70" t="n">
        <v>8907.35</v>
      </c>
      <c r="D88" s="16" t="n">
        <f aca="false">LN(C88)</f>
        <v>9.09463205759641</v>
      </c>
      <c r="E88" s="16" t="n">
        <f aca="false">LN(C88)</f>
        <v>9.09463205759641</v>
      </c>
      <c r="F88" s="16" t="n">
        <f aca="false">E88-D87</f>
        <v>-0.0299717608209775</v>
      </c>
    </row>
    <row r="89" customFormat="false" ht="15" hidden="false" customHeight="false" outlineLevel="0" collapsed="false">
      <c r="B89" s="18" t="n">
        <f aca="false">B88+7</f>
        <v>43759</v>
      </c>
      <c r="C89" s="70" t="n">
        <v>9209.23</v>
      </c>
      <c r="D89" s="16" t="n">
        <f aca="false">LN(C89)</f>
        <v>9.12796152097686</v>
      </c>
      <c r="E89" s="16" t="n">
        <f aca="false">LN(C89)</f>
        <v>9.12796152097686</v>
      </c>
      <c r="F89" s="16" t="n">
        <f aca="false">E89-D88</f>
        <v>0.0333294633804524</v>
      </c>
    </row>
    <row r="90" customFormat="false" ht="15" hidden="false" customHeight="false" outlineLevel="0" collapsed="false">
      <c r="B90" s="18" t="n">
        <f aca="false">B89+7</f>
        <v>43766</v>
      </c>
      <c r="C90" s="70" t="n">
        <v>9216.52</v>
      </c>
      <c r="D90" s="16" t="n">
        <f aca="false">LN(C90)</f>
        <v>9.12875280495503</v>
      </c>
      <c r="E90" s="16" t="n">
        <f aca="false">LN(C90)</f>
        <v>9.12875280495503</v>
      </c>
      <c r="F90" s="16" t="n">
        <f aca="false">E90-D89</f>
        <v>0.000791283978168522</v>
      </c>
    </row>
    <row r="91" customFormat="false" ht="15" hidden="false" customHeight="false" outlineLevel="0" collapsed="false">
      <c r="B91" s="18" t="n">
        <f aca="false">B90+7</f>
        <v>43773</v>
      </c>
      <c r="C91" s="70" t="n">
        <v>9092.61</v>
      </c>
      <c r="D91" s="16" t="n">
        <f aca="false">LN(C91)</f>
        <v>9.11521727467084</v>
      </c>
      <c r="E91" s="16" t="n">
        <f aca="false">LN(C91)</f>
        <v>9.11521727467084</v>
      </c>
      <c r="F91" s="16" t="n">
        <f aca="false">E91-D90</f>
        <v>-0.0135355302841944</v>
      </c>
    </row>
    <row r="92" customFormat="false" ht="15" hidden="false" customHeight="false" outlineLevel="0" collapsed="false">
      <c r="B92" s="18" t="n">
        <f aca="false">B91+7</f>
        <v>43780</v>
      </c>
      <c r="C92" s="70" t="n">
        <v>8742.14</v>
      </c>
      <c r="D92" s="16" t="n">
        <f aca="false">LN(C92)</f>
        <v>9.07591028993699</v>
      </c>
      <c r="E92" s="16" t="n">
        <f aca="false">LN(C92)</f>
        <v>9.07591028993699</v>
      </c>
      <c r="F92" s="16" t="n">
        <f aca="false">E92-D91</f>
        <v>-0.0393069847338516</v>
      </c>
    </row>
    <row r="93" customFormat="false" ht="15" hidden="false" customHeight="false" outlineLevel="0" collapsed="false">
      <c r="B93" s="18" t="n">
        <f aca="false">B92+7</f>
        <v>43787</v>
      </c>
      <c r="C93" s="70" t="n">
        <v>8175.43</v>
      </c>
      <c r="D93" s="16" t="n">
        <f aca="false">LN(C93)</f>
        <v>9.00888859377053</v>
      </c>
      <c r="E93" s="16" t="n">
        <f aca="false">LN(C93)</f>
        <v>9.00888859377053</v>
      </c>
      <c r="F93" s="16" t="n">
        <f aca="false">E93-D92</f>
        <v>-0.0670216961664512</v>
      </c>
    </row>
    <row r="94" customFormat="false" ht="15" hidden="false" customHeight="false" outlineLevel="0" collapsed="false">
      <c r="B94" s="18" t="n">
        <f aca="false">B93+7</f>
        <v>43794</v>
      </c>
      <c r="C94" s="70" t="n">
        <v>8054.07</v>
      </c>
      <c r="D94" s="16" t="n">
        <f aca="false">LN(C94)</f>
        <v>8.99393283270713</v>
      </c>
      <c r="E94" s="16" t="n">
        <f aca="false">LN(C94)</f>
        <v>8.99393283270713</v>
      </c>
      <c r="F94" s="16" t="n">
        <f aca="false">E94-D93</f>
        <v>-0.0149557610634048</v>
      </c>
    </row>
    <row r="95" customFormat="false" ht="15" hidden="false" customHeight="false" outlineLevel="0" collapsed="false">
      <c r="B95" s="20" t="n">
        <f aca="false">D69</f>
        <v>43801</v>
      </c>
      <c r="C95" s="72" t="n">
        <v>7517.51</v>
      </c>
      <c r="D95" s="13" t="n">
        <f aca="false">LN(C95)</f>
        <v>8.92499024509126</v>
      </c>
      <c r="E95" s="13" t="n">
        <f aca="false">LN(C95)</f>
        <v>8.92499024509126</v>
      </c>
      <c r="F95" s="13" t="n">
        <f aca="false">E95-D94</f>
        <v>-0.0689425876158651</v>
      </c>
    </row>
    <row r="96" customFormat="false" ht="15" hidden="false" customHeight="false" outlineLevel="0" collapsed="false">
      <c r="B96" s="20" t="n">
        <f aca="false">B95+7</f>
        <v>43808</v>
      </c>
      <c r="C96" s="72" t="n">
        <v>7521.46</v>
      </c>
      <c r="D96" s="13" t="n">
        <f aca="false">LN(C96)</f>
        <v>8.92551554703559</v>
      </c>
      <c r="E96" s="13" t="n">
        <f aca="false">LN(C96)</f>
        <v>8.92551554703559</v>
      </c>
      <c r="F96" s="13" t="n">
        <f aca="false">E96-D95</f>
        <v>0.000525301944326984</v>
      </c>
    </row>
    <row r="97" customFormat="false" ht="15" hidden="false" customHeight="false" outlineLevel="0" collapsed="false">
      <c r="B97" s="20" t="n">
        <f aca="false">B96+7</f>
        <v>43815</v>
      </c>
      <c r="C97" s="72" t="n">
        <v>7586.74</v>
      </c>
      <c r="D97" s="13" t="n">
        <f aca="false">LN(C97)</f>
        <v>8.93415726560628</v>
      </c>
      <c r="E97" s="13" t="n">
        <f aca="false">LN(C97)</f>
        <v>8.93415726560628</v>
      </c>
      <c r="F97" s="13" t="n">
        <f aca="false">E97-D96</f>
        <v>0.00864171857069351</v>
      </c>
    </row>
    <row r="98" customFormat="false" ht="15" hidden="false" customHeight="false" outlineLevel="0" collapsed="false">
      <c r="B98" s="20" t="n">
        <f aca="false">B97+7</f>
        <v>43822</v>
      </c>
      <c r="C98" s="72" t="n">
        <v>8091.98</v>
      </c>
      <c r="D98" s="13" t="n">
        <f aca="false">LN(C98)</f>
        <v>8.99862872670772</v>
      </c>
      <c r="E98" s="13" t="n">
        <f aca="false">LN(C98)</f>
        <v>8.99862872670772</v>
      </c>
      <c r="F98" s="13" t="n">
        <f aca="false">E98-D97</f>
        <v>0.0644714611014319</v>
      </c>
    </row>
    <row r="99" customFormat="false" ht="15" hidden="false" customHeight="false" outlineLevel="0" collapsed="false">
      <c r="B99" s="20" t="n">
        <f aca="false">B98+7</f>
        <v>43829</v>
      </c>
      <c r="C99" s="72" t="n">
        <v>8020.76</v>
      </c>
      <c r="D99" s="13" t="n">
        <f aca="false">LN(C99)</f>
        <v>8.98978845946309</v>
      </c>
      <c r="E99" s="13" t="n">
        <f aca="false">LN(C99)</f>
        <v>8.98978845946309</v>
      </c>
      <c r="F99" s="13" t="n">
        <f aca="false">E99-D98</f>
        <v>-0.00884026724462572</v>
      </c>
    </row>
    <row r="100" customFormat="false" ht="15" hidden="false" customHeight="false" outlineLevel="0" collapsed="false">
      <c r="B100" s="20" t="n">
        <f aca="false">B99+7</f>
        <v>43836</v>
      </c>
      <c r="C100" s="72" t="n">
        <v>8107.64</v>
      </c>
      <c r="D100" s="13" t="n">
        <f aca="false">LN(C100)</f>
        <v>9.00056210599415</v>
      </c>
      <c r="E100" s="13" t="n">
        <f aca="false">LN(C100)</f>
        <v>9.00056210599415</v>
      </c>
      <c r="F100" s="13" t="n">
        <f aca="false">E100-D99</f>
        <v>0.0107736465310566</v>
      </c>
    </row>
    <row r="101" customFormat="false" ht="15" hidden="false" customHeight="false" outlineLevel="0" collapsed="false">
      <c r="B101" s="20" t="n">
        <f aca="false">B100+7</f>
        <v>43843</v>
      </c>
      <c r="C101" s="72" t="n">
        <v>8143.53</v>
      </c>
      <c r="D101" s="13" t="n">
        <f aca="false">LN(C101)</f>
        <v>9.00497902592652</v>
      </c>
      <c r="E101" s="13" t="n">
        <f aca="false">LN(C101)</f>
        <v>9.00497902592652</v>
      </c>
      <c r="F101" s="13" t="n">
        <f aca="false">E101-D100</f>
        <v>0.00441691993237292</v>
      </c>
    </row>
    <row r="102" customFormat="false" ht="15" hidden="false" customHeight="false" outlineLevel="0" collapsed="false">
      <c r="B102" s="20" t="n">
        <f aca="false">B101+7</f>
        <v>43850</v>
      </c>
      <c r="C102" s="72" t="n">
        <v>7968.19</v>
      </c>
      <c r="D102" s="13" t="n">
        <f aca="false">LN(C102)</f>
        <v>8.98321264436166</v>
      </c>
      <c r="E102" s="13" t="n">
        <f aca="false">LN(C102)</f>
        <v>8.98321264436166</v>
      </c>
      <c r="F102" s="13" t="n">
        <f aca="false">E102-D101</f>
        <v>-0.0217663815648557</v>
      </c>
    </row>
    <row r="103" customFormat="false" ht="15" hidden="false" customHeight="false" outlineLevel="0" collapsed="false">
      <c r="B103" s="20" t="n">
        <f aca="false">B102+7</f>
        <v>43857</v>
      </c>
      <c r="C103" s="72" t="n">
        <v>7663.26</v>
      </c>
      <c r="D103" s="13" t="n">
        <f aca="false">LN(C103)</f>
        <v>8.94419275966534</v>
      </c>
      <c r="E103" s="13" t="n">
        <f aca="false">LN(C103)</f>
        <v>8.94419275966534</v>
      </c>
      <c r="F103" s="13" t="n">
        <f aca="false">E103-D102</f>
        <v>-0.0390198846963248</v>
      </c>
    </row>
    <row r="104" customFormat="false" ht="15" hidden="false" customHeight="false" outlineLevel="0" collapsed="false">
      <c r="B104" s="20" t="n">
        <f aca="false">B103+7</f>
        <v>43864</v>
      </c>
      <c r="C104" s="72" t="n">
        <v>7383.47</v>
      </c>
      <c r="D104" s="13" t="n">
        <f aca="false">LN(C104)</f>
        <v>8.90699899679188</v>
      </c>
      <c r="E104" s="13" t="n">
        <f aca="false">LN(C104)</f>
        <v>8.90699899679188</v>
      </c>
      <c r="F104" s="13" t="n">
        <f aca="false">E104-D103</f>
        <v>-0.0371937628734642</v>
      </c>
    </row>
    <row r="105" customFormat="false" ht="15" hidden="false" customHeight="false" outlineLevel="0" collapsed="false">
      <c r="B105" s="20" t="n">
        <f aca="false">B104+7</f>
        <v>43871</v>
      </c>
      <c r="C105" s="72" t="n">
        <v>7058.64</v>
      </c>
      <c r="D105" s="13" t="n">
        <f aca="false">LN(C105)</f>
        <v>8.86200767736996</v>
      </c>
      <c r="E105" s="13" t="n">
        <f aca="false">LN(C105)</f>
        <v>8.86200767736996</v>
      </c>
      <c r="F105" s="13" t="n">
        <f aca="false">E105-D104</f>
        <v>-0.0449913194219143</v>
      </c>
    </row>
    <row r="106" customFormat="false" ht="15" hidden="false" customHeight="false" outlineLevel="0" collapsed="false">
      <c r="B106" s="20" t="n">
        <f aca="false">B105+7</f>
        <v>43878</v>
      </c>
      <c r="C106" s="72" t="n">
        <v>7086.9</v>
      </c>
      <c r="D106" s="13" t="n">
        <f aca="false">LN(C106)</f>
        <v>8.86600328836782</v>
      </c>
      <c r="E106" s="13" t="n">
        <f aca="false">LN(C106)</f>
        <v>8.86600328836782</v>
      </c>
      <c r="F106" s="13" t="n">
        <f aca="false">E106-D105</f>
        <v>0.00399561099786183</v>
      </c>
    </row>
    <row r="107" customFormat="false" ht="15" hidden="false" customHeight="false" outlineLevel="0" collapsed="false">
      <c r="B107" s="20" t="n">
        <f aca="false">B106+7</f>
        <v>43885</v>
      </c>
      <c r="C107" s="72" t="n">
        <v>6451.44</v>
      </c>
      <c r="D107" s="13" t="n">
        <f aca="false">LN(C107)</f>
        <v>8.7720586406859</v>
      </c>
      <c r="E107" s="13" t="n">
        <f aca="false">LN(C107)</f>
        <v>8.7720586406859</v>
      </c>
      <c r="F107" s="13" t="n">
        <f aca="false">E107-D106</f>
        <v>-0.0939446476819228</v>
      </c>
    </row>
    <row r="108" customFormat="false" ht="15" hidden="false" customHeight="false" outlineLevel="0" collapsed="false">
      <c r="B108" s="20" t="n">
        <f aca="false">B107+7</f>
        <v>43892</v>
      </c>
      <c r="C108" s="72" t="n">
        <v>6281.71</v>
      </c>
      <c r="D108" s="13" t="n">
        <f aca="false">LN(C108)</f>
        <v>8.74539751539087</v>
      </c>
      <c r="E108" s="13" t="n">
        <f aca="false">LN(C108)</f>
        <v>8.74539751539087</v>
      </c>
      <c r="F108" s="13" t="n">
        <f aca="false">E108-D107</f>
        <v>-0.0266611252950337</v>
      </c>
    </row>
    <row r="109" customFormat="false" ht="15" hidden="false" customHeight="false" outlineLevel="0" collapsed="false">
      <c r="B109" s="20" t="n">
        <f aca="false">B108+7</f>
        <v>43899</v>
      </c>
      <c r="C109" s="72" t="n">
        <v>4727.81</v>
      </c>
      <c r="D109" s="13" t="n">
        <f aca="false">LN(C109)</f>
        <v>8.46121737215324</v>
      </c>
      <c r="E109" s="13" t="n">
        <f aca="false">LN(C109)</f>
        <v>8.46121737215324</v>
      </c>
      <c r="F109" s="13" t="n">
        <f aca="false">E109-D108</f>
        <v>-0.284180143237627</v>
      </c>
    </row>
    <row r="110" customFormat="false" ht="15" hidden="false" customHeight="false" outlineLevel="0" collapsed="false">
      <c r="B110" s="20" t="n">
        <f aca="false">B109+7</f>
        <v>43906</v>
      </c>
      <c r="C110" s="72" t="n">
        <v>3745.47</v>
      </c>
      <c r="D110" s="13" t="n">
        <f aca="false">LN(C110)</f>
        <v>8.22830238874433</v>
      </c>
      <c r="E110" s="13" t="n">
        <f aca="false">LN(C110)</f>
        <v>8.22830238874433</v>
      </c>
      <c r="F110" s="13" t="n">
        <f aca="false">E110-D109</f>
        <v>-0.232914983408913</v>
      </c>
    </row>
    <row r="111" customFormat="false" ht="15" hidden="false" customHeight="false" outlineLevel="0" collapsed="false">
      <c r="B111" s="20" t="n">
        <f aca="false">B110+7</f>
        <v>43913</v>
      </c>
      <c r="C111" s="72" t="n">
        <v>4102.47</v>
      </c>
      <c r="D111" s="13" t="n">
        <f aca="false">LN(C111)</f>
        <v>8.31934451032325</v>
      </c>
      <c r="E111" s="13" t="n">
        <f aca="false">LN(C111)</f>
        <v>8.31934451032325</v>
      </c>
      <c r="F111" s="13" t="n">
        <f aca="false">E111-D110</f>
        <v>0.0910421215789228</v>
      </c>
    </row>
    <row r="112" customFormat="false" ht="15" hidden="false" customHeight="false" outlineLevel="0" collapsed="false">
      <c r="B112" s="20" t="n">
        <f aca="false">B111+7</f>
        <v>43920</v>
      </c>
      <c r="C112" s="72" t="n">
        <v>4261.87</v>
      </c>
      <c r="D112" s="13" t="n">
        <f aca="false">LN(C112)</f>
        <v>8.35746331008168</v>
      </c>
      <c r="E112" s="13" t="n">
        <f aca="false">LN(C112)</f>
        <v>8.35746331008168</v>
      </c>
      <c r="F112" s="13" t="n">
        <f aca="false">E112-D111</f>
        <v>0.0381187997584291</v>
      </c>
    </row>
    <row r="113" customFormat="false" ht="15" hidden="false" customHeight="false" outlineLevel="0" collapsed="false">
      <c r="B113" s="20" t="n">
        <f aca="false">B112+7</f>
        <v>43927</v>
      </c>
      <c r="C113" s="72" t="n">
        <v>4320.96</v>
      </c>
      <c r="D113" s="13" t="n">
        <f aca="false">LN(C113)</f>
        <v>8.37123287877268</v>
      </c>
      <c r="E113" s="13" t="n">
        <f aca="false">LN(C113)</f>
        <v>8.37123287877268</v>
      </c>
      <c r="F113" s="13" t="n">
        <f aca="false">E113-D112</f>
        <v>0.0137695686909982</v>
      </c>
    </row>
    <row r="114" customFormat="false" ht="15" hidden="false" customHeight="false" outlineLevel="0" collapsed="false">
      <c r="B114" s="20" t="n">
        <f aca="false">B113+7</f>
        <v>43934</v>
      </c>
      <c r="C114" s="72" t="n">
        <v>4688.22</v>
      </c>
      <c r="D114" s="13" t="n">
        <f aca="false">LN(C114)</f>
        <v>8.45280825848339</v>
      </c>
      <c r="E114" s="13" t="n">
        <f aca="false">LN(C114)</f>
        <v>8.45280825848339</v>
      </c>
      <c r="F114" s="13" t="n">
        <f aca="false">E114-D113</f>
        <v>0.081575379710717</v>
      </c>
    </row>
    <row r="115" customFormat="false" ht="15" hidden="false" customHeight="false" outlineLevel="0" collapsed="false">
      <c r="B115" s="20" t="n">
        <f aca="false">B114+7</f>
        <v>43941</v>
      </c>
      <c r="C115" s="72" t="n">
        <v>4592.45</v>
      </c>
      <c r="D115" s="13" t="n">
        <f aca="false">LN(C115)</f>
        <v>8.43216892971374</v>
      </c>
      <c r="E115" s="13" t="n">
        <f aca="false">LN(C115)</f>
        <v>8.43216892971374</v>
      </c>
      <c r="F115" s="13" t="n">
        <f aca="false">E115-D114</f>
        <v>-0.0206393287696578</v>
      </c>
    </row>
    <row r="116" customFormat="false" ht="15" hidden="false" customHeight="false" outlineLevel="0" collapsed="false">
      <c r="B116" s="20" t="n">
        <f aca="false">B115+7</f>
        <v>43948</v>
      </c>
      <c r="C116" s="72" t="n">
        <v>4708.57</v>
      </c>
      <c r="D116" s="13" t="n">
        <f aca="false">LN(C116)</f>
        <v>8.45713953156999</v>
      </c>
      <c r="E116" s="13" t="n">
        <f aca="false">LN(C116)</f>
        <v>8.45713953156999</v>
      </c>
      <c r="F116" s="13" t="n">
        <f aca="false">E116-D115</f>
        <v>0.0249706018562534</v>
      </c>
    </row>
    <row r="117" customFormat="false" ht="15" hidden="false" customHeight="false" outlineLevel="0" collapsed="false">
      <c r="B117" s="20" t="n">
        <f aca="false">B116+7</f>
        <v>43955</v>
      </c>
      <c r="C117" s="72" t="n">
        <v>4520.85</v>
      </c>
      <c r="D117" s="13" t="n">
        <f aca="false">LN(C117)</f>
        <v>8.41645530824385</v>
      </c>
      <c r="E117" s="13" t="n">
        <f aca="false">LN(C117)</f>
        <v>8.41645530824385</v>
      </c>
      <c r="F117" s="13" t="n">
        <f aca="false">E117-D116</f>
        <v>-0.0406842233261351</v>
      </c>
    </row>
    <row r="118" customFormat="false" ht="15" hidden="false" customHeight="false" outlineLevel="0" collapsed="false">
      <c r="B118" s="20" t="n">
        <f aca="false">B117+7</f>
        <v>43962</v>
      </c>
      <c r="C118" s="72" t="n">
        <v>4505.48</v>
      </c>
      <c r="D118" s="13" t="n">
        <f aca="false">LN(C118)</f>
        <v>8.41304971264626</v>
      </c>
      <c r="E118" s="13" t="n">
        <f aca="false">LN(C118)</f>
        <v>8.41304971264626</v>
      </c>
      <c r="F118" s="13" t="n">
        <f aca="false">E118-D117</f>
        <v>-0.00340559559759157</v>
      </c>
    </row>
    <row r="119" customFormat="false" ht="15" hidden="false" customHeight="false" outlineLevel="0" collapsed="false">
      <c r="B119" s="20" t="n">
        <f aca="false">B118+7</f>
        <v>43969</v>
      </c>
      <c r="C119" s="72" t="n">
        <v>4465.27</v>
      </c>
      <c r="D119" s="13" t="n">
        <f aca="false">LN(C119)</f>
        <v>8.40408496180709</v>
      </c>
      <c r="E119" s="13" t="n">
        <f aca="false">LN(C119)</f>
        <v>8.40408496180709</v>
      </c>
      <c r="F119" s="13" t="n">
        <f aca="false">E119-D118</f>
        <v>-0.00896475083917103</v>
      </c>
    </row>
    <row r="120" customFormat="false" ht="15" hidden="false" customHeight="false" outlineLevel="0" collapsed="false">
      <c r="B120" s="20" t="n">
        <f aca="false">B119+7</f>
        <v>43976</v>
      </c>
      <c r="C120" s="72" t="n">
        <v>4362.72</v>
      </c>
      <c r="D120" s="13"/>
      <c r="E120" s="13" t="n">
        <f aca="false">LN(C120)</f>
        <v>8.38085099503857</v>
      </c>
      <c r="F120" s="13" t="n">
        <f aca="false">E120-D119</f>
        <v>-0.0232339667685224</v>
      </c>
    </row>
    <row r="127" customFormat="false" ht="15" hidden="false" customHeight="false" outlineLevel="0" collapsed="false">
      <c r="B127" s="2" t="s">
        <v>25</v>
      </c>
      <c r="C127" s="2"/>
      <c r="D127" s="2"/>
      <c r="E127" s="2"/>
      <c r="F127" s="67"/>
    </row>
    <row r="128" customFormat="false" ht="15" hidden="false" customHeight="false" outlineLevel="0" collapsed="false">
      <c r="B128" s="5" t="s">
        <v>3</v>
      </c>
      <c r="C128" s="5"/>
      <c r="D128" s="5"/>
      <c r="F128" s="67"/>
    </row>
    <row r="129" customFormat="false" ht="15" hidden="false" customHeight="false" outlineLevel="0" collapsed="false">
      <c r="B129" s="6" t="s">
        <v>4</v>
      </c>
      <c r="C129" s="7" t="s">
        <v>28</v>
      </c>
      <c r="D129" s="7"/>
    </row>
    <row r="130" customFormat="false" ht="15" hidden="false" customHeight="false" outlineLevel="0" collapsed="false">
      <c r="B130" s="6" t="s">
        <v>8</v>
      </c>
      <c r="C130" s="7" t="s">
        <v>9</v>
      </c>
      <c r="D130" s="7"/>
    </row>
    <row r="131" customFormat="false" ht="15" hidden="false" customHeight="false" outlineLevel="0" collapsed="false">
      <c r="B131" s="6" t="s">
        <v>10</v>
      </c>
      <c r="C131" s="6" t="s">
        <v>11</v>
      </c>
      <c r="D131" s="6" t="s">
        <v>12</v>
      </c>
    </row>
    <row r="132" customFormat="false" ht="15" hidden="false" customHeight="false" outlineLevel="0" collapsed="false">
      <c r="B132" s="6" t="s">
        <v>13</v>
      </c>
      <c r="C132" s="8" t="n">
        <f aca="false">DATE(2019,7,1)</f>
        <v>43647</v>
      </c>
      <c r="D132" s="8" t="n">
        <f aca="false">DATE(2019,12,2)</f>
        <v>43801</v>
      </c>
    </row>
    <row r="133" customFormat="false" ht="15" hidden="false" customHeight="false" outlineLevel="0" collapsed="false">
      <c r="B133" s="6" t="s">
        <v>14</v>
      </c>
      <c r="C133" s="8" t="n">
        <f aca="false">DATE(2019,11,25)</f>
        <v>43794</v>
      </c>
      <c r="D133" s="8" t="n">
        <f aca="false">DATE(2020,5,25)</f>
        <v>43976</v>
      </c>
    </row>
    <row r="134" customFormat="false" ht="15" hidden="false" customHeight="false" outlineLevel="0" collapsed="false">
      <c r="B134" s="6" t="s">
        <v>15</v>
      </c>
      <c r="C134" s="10" t="s">
        <v>31</v>
      </c>
      <c r="D134" s="75"/>
    </row>
    <row r="135" customFormat="false" ht="15" hidden="false" customHeight="false" outlineLevel="0" collapsed="false">
      <c r="B135" s="16" t="s">
        <v>21</v>
      </c>
      <c r="C135" s="69" t="s">
        <v>22</v>
      </c>
      <c r="D135" s="16" t="s">
        <v>76</v>
      </c>
      <c r="E135" s="16" t="s">
        <v>74</v>
      </c>
      <c r="F135" s="16" t="s">
        <v>75</v>
      </c>
    </row>
    <row r="136" customFormat="false" ht="15" hidden="false" customHeight="false" outlineLevel="0" collapsed="false">
      <c r="B136" s="18" t="n">
        <f aca="false">C132</f>
        <v>43647</v>
      </c>
      <c r="C136" s="70" t="n">
        <v>11988.32</v>
      </c>
      <c r="D136" s="16" t="n">
        <f aca="false">LN(C136)</f>
        <v>9.39168812144032</v>
      </c>
      <c r="E136" s="16"/>
      <c r="F136" s="16"/>
    </row>
    <row r="137" customFormat="false" ht="15" hidden="false" customHeight="false" outlineLevel="0" collapsed="false">
      <c r="B137" s="18" t="n">
        <f aca="false">B136+7</f>
        <v>43654</v>
      </c>
      <c r="C137" s="70" t="n">
        <v>11791.25</v>
      </c>
      <c r="D137" s="16" t="n">
        <f aca="false">LN(C137)</f>
        <v>9.37511300996406</v>
      </c>
      <c r="E137" s="16" t="n">
        <f aca="false">LN(C137)</f>
        <v>9.37511300996406</v>
      </c>
      <c r="F137" s="16" t="n">
        <f aca="false">E137-D136</f>
        <v>-0.0165751114762571</v>
      </c>
    </row>
    <row r="138" customFormat="false" ht="15" hidden="false" customHeight="false" outlineLevel="0" collapsed="false">
      <c r="B138" s="18" t="n">
        <f aca="false">B137+7</f>
        <v>43661</v>
      </c>
      <c r="C138" s="70" t="n">
        <v>11704.7</v>
      </c>
      <c r="D138" s="16" t="n">
        <f aca="false">LN(C138)</f>
        <v>9.36774574952394</v>
      </c>
      <c r="E138" s="16" t="n">
        <f aca="false">LN(C138)</f>
        <v>9.36774574952394</v>
      </c>
      <c r="F138" s="16" t="n">
        <f aca="false">E138-D137</f>
        <v>-0.00736726044012492</v>
      </c>
    </row>
    <row r="139" customFormat="false" ht="15" hidden="false" customHeight="false" outlineLevel="0" collapsed="false">
      <c r="B139" s="18" t="n">
        <f aca="false">B138+7</f>
        <v>43668</v>
      </c>
      <c r="C139" s="70" t="n">
        <v>11467.74</v>
      </c>
      <c r="D139" s="16" t="n">
        <f aca="false">LN(C139)</f>
        <v>9.3472931549639</v>
      </c>
      <c r="E139" s="16" t="n">
        <f aca="false">LN(C139)</f>
        <v>9.3472931549639</v>
      </c>
      <c r="F139" s="16" t="n">
        <f aca="false">E139-D138</f>
        <v>-0.0204525945600373</v>
      </c>
    </row>
    <row r="140" customFormat="false" ht="15" hidden="false" customHeight="false" outlineLevel="0" collapsed="false">
      <c r="B140" s="18" t="n">
        <f aca="false">B139+7</f>
        <v>43675</v>
      </c>
      <c r="C140" s="70" t="n">
        <v>11412.13</v>
      </c>
      <c r="D140" s="16" t="n">
        <f aca="false">LN(C140)</f>
        <v>9.34243210378621</v>
      </c>
      <c r="E140" s="16" t="n">
        <f aca="false">LN(C140)</f>
        <v>9.34243210378621</v>
      </c>
      <c r="F140" s="16" t="n">
        <f aca="false">E140-D139</f>
        <v>-0.00486105117769142</v>
      </c>
    </row>
    <row r="141" customFormat="false" ht="15" hidden="false" customHeight="false" outlineLevel="0" collapsed="false">
      <c r="B141" s="18" t="n">
        <f aca="false">B140+7</f>
        <v>43682</v>
      </c>
      <c r="C141" s="70" t="n">
        <v>10804.27</v>
      </c>
      <c r="D141" s="16" t="n">
        <f aca="false">LN(C141)</f>
        <v>9.28769670534441</v>
      </c>
      <c r="E141" s="16" t="n">
        <f aca="false">LN(C141)</f>
        <v>9.28769670534441</v>
      </c>
      <c r="F141" s="16" t="n">
        <f aca="false">E141-D140</f>
        <v>-0.0547353984417978</v>
      </c>
    </row>
    <row r="142" customFormat="false" ht="15" hidden="false" customHeight="false" outlineLevel="0" collapsed="false">
      <c r="B142" s="18" t="n">
        <f aca="false">B141+7</f>
        <v>43689</v>
      </c>
      <c r="C142" s="70" t="n">
        <v>10844.32</v>
      </c>
      <c r="D142" s="16" t="n">
        <f aca="false">LN(C142)</f>
        <v>9.29139671958929</v>
      </c>
      <c r="E142" s="16" t="n">
        <f aca="false">LN(C142)</f>
        <v>9.29139671958929</v>
      </c>
      <c r="F142" s="16" t="n">
        <f aca="false">E142-D141</f>
        <v>0.00370001424487398</v>
      </c>
    </row>
    <row r="143" customFormat="false" ht="15" hidden="false" customHeight="false" outlineLevel="0" collapsed="false">
      <c r="B143" s="18" t="n">
        <f aca="false">B142+7</f>
        <v>43696</v>
      </c>
      <c r="C143" s="70" t="n">
        <v>10997</v>
      </c>
      <c r="D143" s="16" t="n">
        <f aca="false">LN(C143)</f>
        <v>9.30537778731094</v>
      </c>
      <c r="E143" s="16" t="n">
        <f aca="false">LN(C143)</f>
        <v>9.30537778731094</v>
      </c>
      <c r="F143" s="16" t="n">
        <f aca="false">E143-D142</f>
        <v>0.0139810677216499</v>
      </c>
    </row>
    <row r="144" customFormat="false" ht="15" hidden="false" customHeight="false" outlineLevel="0" collapsed="false">
      <c r="B144" s="18" t="n">
        <f aca="false">B143+7</f>
        <v>43703</v>
      </c>
      <c r="C144" s="70" t="n">
        <v>11126.3</v>
      </c>
      <c r="D144" s="16" t="n">
        <f aca="false">LN(C144)</f>
        <v>9.31706695414014</v>
      </c>
      <c r="E144" s="16" t="n">
        <f aca="false">LN(C144)</f>
        <v>9.31706695414014</v>
      </c>
      <c r="F144" s="16" t="n">
        <f aca="false">E144-D143</f>
        <v>0.0116891668292016</v>
      </c>
    </row>
    <row r="145" customFormat="false" ht="15" hidden="false" customHeight="false" outlineLevel="0" collapsed="false">
      <c r="B145" s="18" t="n">
        <f aca="false">B144+7</f>
        <v>43710</v>
      </c>
      <c r="C145" s="70" t="n">
        <v>10915.02</v>
      </c>
      <c r="D145" s="16" t="n">
        <f aca="false">LN(C145)</f>
        <v>9.29789510132318</v>
      </c>
      <c r="E145" s="16" t="n">
        <f aca="false">LN(C145)</f>
        <v>9.29789510132318</v>
      </c>
      <c r="F145" s="16" t="n">
        <f aca="false">E145-D144</f>
        <v>-0.0191718528169549</v>
      </c>
    </row>
    <row r="146" customFormat="false" ht="15" hidden="false" customHeight="false" outlineLevel="0" collapsed="false">
      <c r="B146" s="18" t="n">
        <f aca="false">B145+7</f>
        <v>43717</v>
      </c>
      <c r="C146" s="70" t="n">
        <v>11011.94</v>
      </c>
      <c r="D146" s="16" t="n">
        <f aca="false">LN(C146)</f>
        <v>9.30673541764613</v>
      </c>
      <c r="E146" s="16" t="n">
        <f aca="false">LN(C146)</f>
        <v>9.30673541764613</v>
      </c>
      <c r="F146" s="16" t="n">
        <f aca="false">E146-D145</f>
        <v>0.00884031632294757</v>
      </c>
    </row>
    <row r="147" customFormat="false" ht="15" hidden="false" customHeight="false" outlineLevel="0" collapsed="false">
      <c r="B147" s="18" t="n">
        <f aca="false">B146+7</f>
        <v>43724</v>
      </c>
      <c r="C147" s="70" t="n">
        <v>10938.94</v>
      </c>
      <c r="D147" s="16" t="n">
        <f aca="false">LN(C147)</f>
        <v>9.30008417914269</v>
      </c>
      <c r="E147" s="16" t="n">
        <f aca="false">LN(C147)</f>
        <v>9.30008417914269</v>
      </c>
      <c r="F147" s="16" t="n">
        <f aca="false">E147-D146</f>
        <v>-0.00665123850344251</v>
      </c>
    </row>
    <row r="148" customFormat="false" ht="15" hidden="false" customHeight="false" outlineLevel="0" collapsed="false">
      <c r="B148" s="18" t="n">
        <f aca="false">B147+7</f>
        <v>43731</v>
      </c>
      <c r="C148" s="70" t="n">
        <v>10556.72</v>
      </c>
      <c r="D148" s="16" t="n">
        <f aca="false">LN(C148)</f>
        <v>9.26451790295159</v>
      </c>
      <c r="E148" s="16" t="n">
        <f aca="false">LN(C148)</f>
        <v>9.26451790295159</v>
      </c>
      <c r="F148" s="16" t="n">
        <f aca="false">E148-D147</f>
        <v>-0.0355662761910942</v>
      </c>
    </row>
    <row r="149" customFormat="false" ht="15" hidden="false" customHeight="false" outlineLevel="0" collapsed="false">
      <c r="B149" s="18" t="n">
        <f aca="false">B148+7</f>
        <v>43738</v>
      </c>
      <c r="C149" s="70" t="n">
        <v>10477.26</v>
      </c>
      <c r="D149" s="16" t="n">
        <f aca="false">LN(C149)</f>
        <v>9.25696247330924</v>
      </c>
      <c r="E149" s="16" t="n">
        <f aca="false">LN(C149)</f>
        <v>9.25696247330924</v>
      </c>
      <c r="F149" s="16" t="n">
        <f aca="false">E149-D148</f>
        <v>-0.00755542964234834</v>
      </c>
    </row>
    <row r="150" customFormat="false" ht="15" hidden="false" customHeight="false" outlineLevel="0" collapsed="false">
      <c r="B150" s="18" t="n">
        <f aca="false">B149+7</f>
        <v>43745</v>
      </c>
      <c r="C150" s="70" t="n">
        <v>10677.38</v>
      </c>
      <c r="D150" s="16" t="n">
        <f aca="false">LN(C150)</f>
        <v>9.27588276406666</v>
      </c>
      <c r="E150" s="16" t="n">
        <f aca="false">LN(C150)</f>
        <v>9.27588276406666</v>
      </c>
      <c r="F150" s="16" t="n">
        <f aca="false">E150-D149</f>
        <v>0.0189202907574124</v>
      </c>
    </row>
    <row r="151" customFormat="false" ht="15" hidden="false" customHeight="false" outlineLevel="0" collapsed="false">
      <c r="B151" s="18" t="n">
        <f aca="false">B150+7</f>
        <v>43752</v>
      </c>
      <c r="C151" s="70" t="n">
        <v>10643.01</v>
      </c>
      <c r="D151" s="16" t="n">
        <f aca="false">LN(C151)</f>
        <v>9.27265861762531</v>
      </c>
      <c r="E151" s="16" t="n">
        <f aca="false">LN(C151)</f>
        <v>9.27265861762531</v>
      </c>
      <c r="F151" s="16" t="n">
        <f aca="false">E151-D150</f>
        <v>-0.00322414644134916</v>
      </c>
    </row>
    <row r="152" customFormat="false" ht="15" hidden="false" customHeight="false" outlineLevel="0" collapsed="false">
      <c r="B152" s="18" t="n">
        <f aca="false">B151+7</f>
        <v>43759</v>
      </c>
      <c r="C152" s="70" t="n">
        <v>10470.07</v>
      </c>
      <c r="D152" s="16" t="n">
        <f aca="false">LN(C152)</f>
        <v>9.2562759896111</v>
      </c>
      <c r="E152" s="16" t="n">
        <f aca="false">LN(C152)</f>
        <v>9.2562759896111</v>
      </c>
      <c r="F152" s="16" t="n">
        <f aca="false">E152-D151</f>
        <v>-0.0163826280142114</v>
      </c>
    </row>
    <row r="153" customFormat="false" ht="15" hidden="false" customHeight="false" outlineLevel="0" collapsed="false">
      <c r="B153" s="18" t="n">
        <f aca="false">B152+7</f>
        <v>43766</v>
      </c>
      <c r="C153" s="70" t="n">
        <v>10470.94</v>
      </c>
      <c r="D153" s="16" t="n">
        <f aca="false">LN(C153)</f>
        <v>9.25635908015931</v>
      </c>
      <c r="E153" s="16" t="n">
        <f aca="false">LN(C153)</f>
        <v>9.25635908015931</v>
      </c>
      <c r="F153" s="16" t="n">
        <f aca="false">E153-D152</f>
        <v>8.30905482125388E-005</v>
      </c>
    </row>
    <row r="154" customFormat="false" ht="15" hidden="false" customHeight="false" outlineLevel="0" collapsed="false">
      <c r="B154" s="18" t="n">
        <f aca="false">B153+7</f>
        <v>43773</v>
      </c>
      <c r="C154" s="70" t="n">
        <v>10478.33</v>
      </c>
      <c r="D154" s="16" t="n">
        <f aca="false">LN(C154)</f>
        <v>9.25706459403225</v>
      </c>
      <c r="E154" s="16" t="n">
        <f aca="false">LN(C154)</f>
        <v>9.25706459403225</v>
      </c>
      <c r="F154" s="16" t="n">
        <f aca="false">E154-D153</f>
        <v>0.000705513872944152</v>
      </c>
    </row>
    <row r="155" customFormat="false" ht="15" hidden="false" customHeight="false" outlineLevel="0" collapsed="false">
      <c r="B155" s="18" t="n">
        <f aca="false">B154+7</f>
        <v>43780</v>
      </c>
      <c r="C155" s="70" t="n">
        <v>10082.34</v>
      </c>
      <c r="D155" s="16" t="n">
        <f aca="false">LN(C155)</f>
        <v>9.21854065754152</v>
      </c>
      <c r="E155" s="16" t="n">
        <f aca="false">LN(C155)</f>
        <v>9.21854065754152</v>
      </c>
      <c r="F155" s="16" t="n">
        <f aca="false">E155-D154</f>
        <v>-0.0385239364907335</v>
      </c>
    </row>
    <row r="156" customFormat="false" ht="15" hidden="false" customHeight="false" outlineLevel="0" collapsed="false">
      <c r="B156" s="18" t="n">
        <f aca="false">B155+7</f>
        <v>43787</v>
      </c>
      <c r="C156" s="70" t="n">
        <v>9911.6201</v>
      </c>
      <c r="D156" s="16" t="n">
        <f aca="false">LN(C156)</f>
        <v>9.20146309529441</v>
      </c>
      <c r="E156" s="16" t="n">
        <f aca="false">LN(C156)</f>
        <v>9.20146309529441</v>
      </c>
      <c r="F156" s="16" t="n">
        <f aca="false">E156-D155</f>
        <v>-0.0170775622471133</v>
      </c>
    </row>
    <row r="157" customFormat="false" ht="15" hidden="false" customHeight="false" outlineLevel="0" collapsed="false">
      <c r="B157" s="18" t="n">
        <f aca="false">B156+7</f>
        <v>43794</v>
      </c>
      <c r="C157" s="70" t="n">
        <v>9781.29</v>
      </c>
      <c r="D157" s="76" t="n">
        <f aca="false">LN(C157)</f>
        <v>9.18822665617107</v>
      </c>
      <c r="E157" s="16" t="n">
        <f aca="false">LN(C157)</f>
        <v>9.18822665617107</v>
      </c>
      <c r="F157" s="16" t="n">
        <f aca="false">E157-D156</f>
        <v>-0.0132364391233342</v>
      </c>
    </row>
    <row r="158" customFormat="false" ht="15" hidden="false" customHeight="false" outlineLevel="0" collapsed="false">
      <c r="B158" s="20" t="n">
        <f aca="false">D132</f>
        <v>43801</v>
      </c>
      <c r="C158" s="21" t="n">
        <v>9555.4297</v>
      </c>
      <c r="D158" s="13" t="n">
        <f aca="false">LN(C158)</f>
        <v>9.16486482688246</v>
      </c>
      <c r="E158" s="13" t="n">
        <f aca="false">LN(C158)</f>
        <v>9.16486482688246</v>
      </c>
      <c r="F158" s="13" t="n">
        <f aca="false">E158-D157</f>
        <v>-0.023361829288616</v>
      </c>
    </row>
    <row r="159" customFormat="false" ht="15" hidden="false" customHeight="false" outlineLevel="0" collapsed="false">
      <c r="B159" s="20" t="n">
        <f aca="false">B158+7</f>
        <v>43808</v>
      </c>
      <c r="C159" s="21" t="n">
        <v>9722.0801</v>
      </c>
      <c r="D159" s="13" t="n">
        <f aca="false">LN(C159)</f>
        <v>9.18215487661692</v>
      </c>
      <c r="E159" s="13" t="n">
        <f aca="false">LN(C159)</f>
        <v>9.18215487661692</v>
      </c>
      <c r="F159" s="13" t="n">
        <f aca="false">E159-D158</f>
        <v>0.0172900497344681</v>
      </c>
    </row>
    <row r="160" customFormat="false" ht="15" hidden="false" customHeight="false" outlineLevel="0" collapsed="false">
      <c r="B160" s="20" t="n">
        <f aca="false">B159+7</f>
        <v>43815</v>
      </c>
      <c r="C160" s="21" t="n">
        <v>9367.5898</v>
      </c>
      <c r="D160" s="13" t="n">
        <f aca="false">LN(C160)</f>
        <v>9.14501111695763</v>
      </c>
      <c r="E160" s="13" t="n">
        <f aca="false">LN(C160)</f>
        <v>9.14501111695763</v>
      </c>
      <c r="F160" s="13" t="n">
        <f aca="false">E160-D159</f>
        <v>-0.0371437596592941</v>
      </c>
    </row>
    <row r="161" customFormat="false" ht="15" hidden="false" customHeight="false" outlineLevel="0" collapsed="false">
      <c r="B161" s="20" t="n">
        <f aca="false">B160+7</f>
        <v>43822</v>
      </c>
      <c r="C161" s="21" t="n">
        <v>9635.0703</v>
      </c>
      <c r="D161" s="13" t="n">
        <f aca="false">LN(C161)</f>
        <v>9.17316487713737</v>
      </c>
      <c r="E161" s="13" t="n">
        <f aca="false">LN(C161)</f>
        <v>9.17316487713737</v>
      </c>
      <c r="F161" s="13" t="n">
        <f aca="false">E161-D160</f>
        <v>0.0281537601797357</v>
      </c>
    </row>
    <row r="162" customFormat="false" ht="15" hidden="false" customHeight="false" outlineLevel="0" collapsed="false">
      <c r="B162" s="20" t="n">
        <f aca="false">B161+7</f>
        <v>43829</v>
      </c>
      <c r="C162" s="21" t="n">
        <v>9684.1396</v>
      </c>
      <c r="D162" s="13" t="n">
        <f aca="false">LN(C162)</f>
        <v>9.17824473348482</v>
      </c>
      <c r="E162" s="13" t="n">
        <f aca="false">LN(C162)</f>
        <v>9.17824473348482</v>
      </c>
      <c r="F162" s="13" t="n">
        <f aca="false">E162-D161</f>
        <v>0.00507985634745367</v>
      </c>
    </row>
    <row r="163" customFormat="false" ht="15" hidden="false" customHeight="false" outlineLevel="0" collapsed="false">
      <c r="B163" s="20" t="n">
        <f aca="false">B162+7</f>
        <v>43836</v>
      </c>
      <c r="C163" s="21" t="n">
        <v>9364.4805</v>
      </c>
      <c r="D163" s="13" t="n">
        <f aca="false">LN(C163)</f>
        <v>9.14467914083553</v>
      </c>
      <c r="E163" s="13" t="n">
        <f aca="false">LN(C163)</f>
        <v>9.14467914083553</v>
      </c>
      <c r="F163" s="13" t="n">
        <f aca="false">E163-D162</f>
        <v>-0.0335655926492908</v>
      </c>
    </row>
    <row r="164" customFormat="false" ht="15" hidden="false" customHeight="false" outlineLevel="0" collapsed="false">
      <c r="B164" s="20" t="n">
        <f aca="false">B163+7</f>
        <v>43843</v>
      </c>
      <c r="C164" s="21" t="n">
        <v>9477.4199</v>
      </c>
      <c r="D164" s="13" t="n">
        <f aca="false">LN(C164)</f>
        <v>9.15666739575889</v>
      </c>
      <c r="E164" s="13" t="n">
        <f aca="false">LN(C164)</f>
        <v>9.15666739575889</v>
      </c>
      <c r="F164" s="13" t="n">
        <f aca="false">E164-D163</f>
        <v>0.0119882549233612</v>
      </c>
    </row>
    <row r="165" customFormat="false" ht="15" hidden="false" customHeight="false" outlineLevel="0" collapsed="false">
      <c r="B165" s="20" t="n">
        <f aca="false">B164+7</f>
        <v>43850</v>
      </c>
      <c r="C165" s="21" t="n">
        <v>9728.7197</v>
      </c>
      <c r="D165" s="13" t="n">
        <f aca="false">LN(C165)</f>
        <v>9.18283758378847</v>
      </c>
      <c r="E165" s="13" t="n">
        <f aca="false">LN(C165)</f>
        <v>9.18283758378847</v>
      </c>
      <c r="F165" s="13" t="n">
        <f aca="false">E165-D164</f>
        <v>0.0261701880295817</v>
      </c>
    </row>
    <row r="166" customFormat="false" ht="15" hidden="false" customHeight="false" outlineLevel="0" collapsed="false">
      <c r="B166" s="20" t="n">
        <f aca="false">B165+7</f>
        <v>43857</v>
      </c>
      <c r="C166" s="21" t="n">
        <v>8921.4404</v>
      </c>
      <c r="D166" s="13" t="n">
        <f aca="false">LN(C166)</f>
        <v>9.09621269235822</v>
      </c>
      <c r="E166" s="13" t="n">
        <f aca="false">LN(C166)</f>
        <v>9.09621269235822</v>
      </c>
      <c r="F166" s="13" t="n">
        <f aca="false">E166-D165</f>
        <v>-0.086624891430251</v>
      </c>
    </row>
    <row r="167" customFormat="false" ht="15" hidden="false" customHeight="false" outlineLevel="0" collapsed="false">
      <c r="B167" s="20" t="n">
        <f aca="false">B166+7</f>
        <v>43864</v>
      </c>
      <c r="C167" s="21" t="n">
        <v>9391.6797</v>
      </c>
      <c r="D167" s="13" t="n">
        <f aca="false">LN(C167)</f>
        <v>9.14757943799401</v>
      </c>
      <c r="E167" s="13" t="n">
        <f aca="false">LN(C167)</f>
        <v>9.14757943799401</v>
      </c>
      <c r="F167" s="13" t="n">
        <f aca="false">E167-D166</f>
        <v>0.0513667456357858</v>
      </c>
    </row>
    <row r="168" customFormat="false" ht="15" hidden="false" customHeight="false" outlineLevel="0" collapsed="false">
      <c r="B168" s="20" t="n">
        <f aca="false">B167+7</f>
        <v>43871</v>
      </c>
      <c r="C168" s="21" t="n">
        <v>8936.6396</v>
      </c>
      <c r="D168" s="13" t="n">
        <f aca="false">LN(C168)</f>
        <v>9.09791491383668</v>
      </c>
      <c r="E168" s="13" t="n">
        <f aca="false">LN(C168)</f>
        <v>9.09791491383668</v>
      </c>
      <c r="F168" s="13" t="n">
        <f aca="false">E168-D167</f>
        <v>-0.0496645241573237</v>
      </c>
    </row>
    <row r="169" customFormat="false" ht="15" hidden="false" customHeight="false" outlineLevel="0" collapsed="false">
      <c r="B169" s="20" t="n">
        <f aca="false">B168+7</f>
        <v>43878</v>
      </c>
      <c r="C169" s="21" t="n">
        <v>8987.0801</v>
      </c>
      <c r="D169" s="13" t="n">
        <f aca="false">LN(C169)</f>
        <v>9.10354328049281</v>
      </c>
      <c r="E169" s="13" t="n">
        <f aca="false">LN(C169)</f>
        <v>9.10354328049281</v>
      </c>
      <c r="F169" s="13" t="n">
        <f aca="false">E169-D168</f>
        <v>0.00562836665612387</v>
      </c>
    </row>
    <row r="170" customFormat="false" ht="15" hidden="false" customHeight="false" outlineLevel="0" collapsed="false">
      <c r="B170" s="20" t="n">
        <f aca="false">B169+7</f>
        <v>43885</v>
      </c>
      <c r="C170" s="21" t="n">
        <v>8351.4805</v>
      </c>
      <c r="D170" s="13" t="n">
        <f aca="false">LN(C170)</f>
        <v>9.03019410751738</v>
      </c>
      <c r="E170" s="13" t="n">
        <f aca="false">LN(C170)</f>
        <v>9.03019410751738</v>
      </c>
      <c r="F170" s="13" t="n">
        <f aca="false">E170-D169</f>
        <v>-0.0733491729754263</v>
      </c>
    </row>
    <row r="171" customFormat="false" ht="15" hidden="false" customHeight="false" outlineLevel="0" collapsed="false">
      <c r="B171" s="20" t="n">
        <f aca="false">B170+7</f>
        <v>43892</v>
      </c>
      <c r="C171" s="21" t="n">
        <v>8114.0698</v>
      </c>
      <c r="D171" s="13" t="n">
        <f aca="false">LN(C171)</f>
        <v>9.00135484614497</v>
      </c>
      <c r="E171" s="13" t="n">
        <f aca="false">LN(C171)</f>
        <v>9.00135484614497</v>
      </c>
      <c r="F171" s="13" t="n">
        <f aca="false">E171-D170</f>
        <v>-0.0288392613724096</v>
      </c>
    </row>
    <row r="172" customFormat="false" ht="15" hidden="false" customHeight="false" outlineLevel="0" collapsed="false">
      <c r="B172" s="20" t="n">
        <f aca="false">B171+7</f>
        <v>43899</v>
      </c>
      <c r="C172" s="21" t="n">
        <v>7071.1099</v>
      </c>
      <c r="D172" s="13" t="n">
        <f aca="false">LN(C172)</f>
        <v>8.86377273383956</v>
      </c>
      <c r="E172" s="13" t="n">
        <f aca="false">LN(C172)</f>
        <v>8.86377273383956</v>
      </c>
      <c r="F172" s="13" t="n">
        <f aca="false">E172-D171</f>
        <v>-0.137582112305408</v>
      </c>
    </row>
    <row r="173" customFormat="false" ht="15" hidden="false" customHeight="false" outlineLevel="0" collapsed="false">
      <c r="B173" s="20" t="n">
        <f aca="false">B172+7</f>
        <v>43906</v>
      </c>
      <c r="C173" s="21" t="n">
        <v>6022.6499</v>
      </c>
      <c r="D173" s="13" t="n">
        <f aca="false">LN(C173)</f>
        <v>8.70328262417512</v>
      </c>
      <c r="E173" s="13" t="n">
        <f aca="false">LN(C173)</f>
        <v>8.70328262417512</v>
      </c>
      <c r="F173" s="13" t="n">
        <f aca="false">E173-D172</f>
        <v>-0.160490109664439</v>
      </c>
    </row>
    <row r="174" customFormat="false" ht="15" hidden="false" customHeight="false" outlineLevel="0" collapsed="false">
      <c r="B174" s="20" t="n">
        <f aca="false">B173+7</f>
        <v>43913</v>
      </c>
      <c r="C174" s="21" t="n">
        <v>6204.54</v>
      </c>
      <c r="D174" s="13" t="n">
        <f aca="false">LN(C174)</f>
        <v>8.73303656112757</v>
      </c>
      <c r="E174" s="13" t="n">
        <f aca="false">LN(C174)</f>
        <v>8.73303656112757</v>
      </c>
      <c r="F174" s="13" t="n">
        <f aca="false">E174-D173</f>
        <v>0.0297539369524458</v>
      </c>
    </row>
    <row r="175" customFormat="false" ht="15" hidden="false" customHeight="false" outlineLevel="0" collapsed="false">
      <c r="B175" s="20" t="n">
        <f aca="false">B174+7</f>
        <v>43920</v>
      </c>
      <c r="C175" s="21" t="n">
        <v>6433.9702</v>
      </c>
      <c r="D175" s="13" t="n">
        <f aca="false">LN(C175)</f>
        <v>8.76934707614386</v>
      </c>
      <c r="E175" s="13" t="n">
        <f aca="false">LN(C175)</f>
        <v>8.76934707614386</v>
      </c>
      <c r="F175" s="13" t="n">
        <f aca="false">E175-D174</f>
        <v>0.0363105150162877</v>
      </c>
    </row>
    <row r="176" customFormat="false" ht="15" hidden="false" customHeight="false" outlineLevel="0" collapsed="false">
      <c r="B176" s="20" t="n">
        <f aca="false">B175+7</f>
        <v>43927</v>
      </c>
      <c r="C176" s="21" t="n">
        <v>7073.1602</v>
      </c>
      <c r="D176" s="13" t="n">
        <f aca="false">LN(C176)</f>
        <v>8.86406264629172</v>
      </c>
      <c r="E176" s="13" t="n">
        <f aca="false">LN(C176)</f>
        <v>8.86406264629172</v>
      </c>
      <c r="F176" s="13" t="n">
        <f aca="false">E176-D175</f>
        <v>0.0947155701478657</v>
      </c>
    </row>
    <row r="177" customFormat="false" ht="15" hidden="false" customHeight="false" outlineLevel="0" collapsed="false">
      <c r="B177" s="20" t="n">
        <f aca="false">B176+7</f>
        <v>43934</v>
      </c>
      <c r="C177" s="21" t="n">
        <v>7566.8198</v>
      </c>
      <c r="D177" s="13" t="n">
        <f aca="false">LN(C177)</f>
        <v>8.93152815248206</v>
      </c>
      <c r="E177" s="13" t="n">
        <f aca="false">LN(C177)</f>
        <v>8.93152815248206</v>
      </c>
      <c r="F177" s="13" t="n">
        <f aca="false">E177-D176</f>
        <v>0.0674655061903415</v>
      </c>
    </row>
    <row r="178" customFormat="false" ht="15" hidden="false" customHeight="false" outlineLevel="0" collapsed="false">
      <c r="B178" s="20" t="n">
        <f aca="false">B177+7</f>
        <v>43941</v>
      </c>
      <c r="C178" s="21" t="n">
        <v>7209.48</v>
      </c>
      <c r="D178" s="13" t="n">
        <f aca="false">LN(C178)</f>
        <v>8.88315210562537</v>
      </c>
      <c r="E178" s="13" t="n">
        <f aca="false">LN(C178)</f>
        <v>8.88315210562537</v>
      </c>
      <c r="F178" s="13" t="n">
        <f aca="false">E178-D177</f>
        <v>-0.0483760468566938</v>
      </c>
    </row>
    <row r="179" customFormat="false" ht="15" hidden="false" customHeight="false" outlineLevel="0" collapsed="false">
      <c r="B179" s="20" t="n">
        <f aca="false">B178+7</f>
        <v>43948</v>
      </c>
      <c r="C179" s="21" t="n">
        <v>7474.9302</v>
      </c>
      <c r="D179" s="13" t="n">
        <f aca="false">LN(C179)</f>
        <v>8.91931006042265</v>
      </c>
      <c r="E179" s="13" t="n">
        <f aca="false">LN(C179)</f>
        <v>8.91931006042265</v>
      </c>
      <c r="F179" s="13" t="n">
        <f aca="false">E179-D178</f>
        <v>0.036157954797277</v>
      </c>
    </row>
    <row r="180" customFormat="false" ht="15" hidden="false" customHeight="false" outlineLevel="0" collapsed="false">
      <c r="B180" s="20" t="n">
        <f aca="false">B179+7</f>
        <v>43955</v>
      </c>
      <c r="C180" s="21" t="n">
        <v>7326.79</v>
      </c>
      <c r="D180" s="13" t="n">
        <f aca="false">LN(C180)</f>
        <v>8.89929277263281</v>
      </c>
      <c r="E180" s="13" t="n">
        <f aca="false">LN(C180)</f>
        <v>8.89929277263281</v>
      </c>
      <c r="F180" s="13" t="n">
        <f aca="false">E180-D179</f>
        <v>-0.0200172877898392</v>
      </c>
    </row>
    <row r="181" customFormat="false" ht="15" hidden="false" customHeight="false" outlineLevel="0" collapsed="false">
      <c r="B181" s="20" t="n">
        <f aca="false">B180+7</f>
        <v>43962</v>
      </c>
      <c r="C181" s="21" t="n">
        <v>7506.6699</v>
      </c>
      <c r="D181" s="13" t="n">
        <f aca="false">LN(C181)</f>
        <v>8.92354722431367</v>
      </c>
      <c r="E181" s="13" t="n">
        <f aca="false">LN(C181)</f>
        <v>8.92354722431367</v>
      </c>
      <c r="F181" s="13" t="n">
        <f aca="false">E181-D180</f>
        <v>0.0242544516808572</v>
      </c>
    </row>
    <row r="182" customFormat="false" ht="15" hidden="false" customHeight="false" outlineLevel="0" collapsed="false">
      <c r="B182" s="20" t="n">
        <f aca="false">B181+7</f>
        <v>43969</v>
      </c>
      <c r="C182" s="21" t="n">
        <v>7304.8101</v>
      </c>
      <c r="D182" s="13" t="n">
        <f aca="false">LN(C182)</f>
        <v>8.89628832795368</v>
      </c>
      <c r="E182" s="13" t="n">
        <f aca="false">LN(C182)</f>
        <v>8.89628832795368</v>
      </c>
      <c r="F182" s="13" t="n">
        <f aca="false">E182-D181</f>
        <v>-0.0272588963599887</v>
      </c>
    </row>
    <row r="183" customFormat="false" ht="15" hidden="false" customHeight="false" outlineLevel="0" collapsed="false">
      <c r="B183" s="20" t="n">
        <f aca="false">B182+7</f>
        <v>43976</v>
      </c>
      <c r="C183" s="21" t="n">
        <v>7311.0898</v>
      </c>
      <c r="D183" s="13"/>
      <c r="E183" s="13" t="n">
        <f aca="false">LN(C183)</f>
        <v>8.89714762507932</v>
      </c>
      <c r="F183" s="13" t="n">
        <f aca="false">E183-D182</f>
        <v>0.000859297125646918</v>
      </c>
    </row>
    <row r="191" customFormat="false" ht="15" hidden="false" customHeight="false" outlineLevel="0" collapsed="false">
      <c r="B191" s="2" t="s">
        <v>2</v>
      </c>
      <c r="C191" s="2"/>
      <c r="D191" s="2"/>
      <c r="E191" s="2"/>
      <c r="F191" s="67"/>
    </row>
    <row r="192" customFormat="false" ht="15" hidden="false" customHeight="false" outlineLevel="0" collapsed="false">
      <c r="B192" s="4" t="s">
        <v>3</v>
      </c>
      <c r="C192" s="4"/>
      <c r="D192" s="4"/>
      <c r="F192" s="67"/>
    </row>
    <row r="193" customFormat="false" ht="15" hidden="false" customHeight="false" outlineLevel="0" collapsed="false">
      <c r="B193" s="6" t="s">
        <v>4</v>
      </c>
      <c r="C193" s="7" t="s">
        <v>7</v>
      </c>
      <c r="D193" s="7"/>
    </row>
    <row r="194" customFormat="false" ht="15" hidden="false" customHeight="false" outlineLevel="0" collapsed="false">
      <c r="B194" s="6" t="s">
        <v>8</v>
      </c>
      <c r="C194" s="7" t="s">
        <v>9</v>
      </c>
      <c r="D194" s="7"/>
    </row>
    <row r="195" customFormat="false" ht="15" hidden="false" customHeight="false" outlineLevel="0" collapsed="false">
      <c r="B195" s="6" t="s">
        <v>10</v>
      </c>
      <c r="C195" s="6" t="s">
        <v>11</v>
      </c>
      <c r="D195" s="6" t="s">
        <v>12</v>
      </c>
    </row>
    <row r="196" customFormat="false" ht="15" hidden="false" customHeight="false" outlineLevel="0" collapsed="false">
      <c r="B196" s="6" t="s">
        <v>13</v>
      </c>
      <c r="C196" s="8" t="n">
        <f aca="false">DATE(2019,7,1)</f>
        <v>43647</v>
      </c>
      <c r="D196" s="8" t="n">
        <f aca="false">DATE(2019,12,2)</f>
        <v>43801</v>
      </c>
    </row>
    <row r="197" customFormat="false" ht="15" hidden="false" customHeight="false" outlineLevel="0" collapsed="false">
      <c r="B197" s="6" t="s">
        <v>14</v>
      </c>
      <c r="C197" s="8" t="n">
        <f aca="false">DATE(2019,11,25)</f>
        <v>43794</v>
      </c>
      <c r="D197" s="8" t="n">
        <f aca="false">DATE(2020,5,25)</f>
        <v>43976</v>
      </c>
    </row>
    <row r="198" customFormat="false" ht="15" hidden="false" customHeight="false" outlineLevel="0" collapsed="false">
      <c r="B198" s="6" t="s">
        <v>15</v>
      </c>
      <c r="C198" s="10" t="s">
        <v>18</v>
      </c>
      <c r="D198" s="75"/>
    </row>
    <row r="199" customFormat="false" ht="15" hidden="false" customHeight="false" outlineLevel="0" collapsed="false">
      <c r="B199" s="16" t="s">
        <v>21</v>
      </c>
      <c r="C199" s="69" t="s">
        <v>22</v>
      </c>
      <c r="D199" s="16" t="s">
        <v>76</v>
      </c>
      <c r="E199" s="16" t="s">
        <v>77</v>
      </c>
      <c r="F199" s="16" t="s">
        <v>75</v>
      </c>
    </row>
    <row r="200" customFormat="false" ht="15" hidden="false" customHeight="false" outlineLevel="0" collapsed="false">
      <c r="B200" s="18" t="n">
        <f aca="false">C196</f>
        <v>43647</v>
      </c>
      <c r="C200" s="69" t="n">
        <v>1742.01</v>
      </c>
      <c r="D200" s="16" t="n">
        <f aca="false">LN(C200)</f>
        <v>7.4627948979241</v>
      </c>
      <c r="E200" s="16"/>
      <c r="F200" s="16"/>
    </row>
    <row r="201" customFormat="false" ht="15" hidden="false" customHeight="false" outlineLevel="0" collapsed="false">
      <c r="B201" s="18" t="n">
        <f aca="false">B200+7</f>
        <v>43654</v>
      </c>
      <c r="C201" s="69" t="n">
        <v>1788.79</v>
      </c>
      <c r="D201" s="16" t="n">
        <f aca="false">LN(C201)</f>
        <v>7.48929469260526</v>
      </c>
      <c r="E201" s="16" t="n">
        <f aca="false">LN(C201)</f>
        <v>7.48929469260526</v>
      </c>
      <c r="F201" s="16" t="n">
        <f aca="false">E201-D200</f>
        <v>0.0264997946811612</v>
      </c>
    </row>
    <row r="202" customFormat="false" ht="15" hidden="false" customHeight="false" outlineLevel="0" collapsed="false">
      <c r="B202" s="18" t="n">
        <f aca="false">B201+7</f>
        <v>43661</v>
      </c>
      <c r="C202" s="69" t="n">
        <v>1877.28</v>
      </c>
      <c r="D202" s="16" t="n">
        <f aca="false">LN(C202)</f>
        <v>7.53757919967531</v>
      </c>
      <c r="E202" s="16" t="n">
        <f aca="false">LN(C202)</f>
        <v>7.53757919967531</v>
      </c>
      <c r="F202" s="16" t="n">
        <f aca="false">E202-D201</f>
        <v>0.0482845070700524</v>
      </c>
    </row>
    <row r="203" customFormat="false" ht="15" hidden="false" customHeight="false" outlineLevel="0" collapsed="false">
      <c r="B203" s="18" t="n">
        <f aca="false">B202+7</f>
        <v>43668</v>
      </c>
      <c r="C203" s="69" t="n">
        <v>1848.49</v>
      </c>
      <c r="D203" s="16" t="n">
        <f aca="false">LN(C203)</f>
        <v>7.52212436857033</v>
      </c>
      <c r="E203" s="16" t="n">
        <f aca="false">LN(C203)</f>
        <v>7.52212436857033</v>
      </c>
      <c r="F203" s="16" t="n">
        <f aca="false">E203-D202</f>
        <v>-0.0154548311049831</v>
      </c>
    </row>
    <row r="204" customFormat="false" ht="15" hidden="false" customHeight="false" outlineLevel="0" collapsed="false">
      <c r="B204" s="18" t="n">
        <f aca="false">B203+7</f>
        <v>43675</v>
      </c>
      <c r="C204" s="69" t="n">
        <v>1861.4</v>
      </c>
      <c r="D204" s="16" t="n">
        <f aca="false">LN(C204)</f>
        <v>7.52908417175161</v>
      </c>
      <c r="E204" s="16" t="n">
        <f aca="false">LN(C204)</f>
        <v>7.52908417175161</v>
      </c>
      <c r="F204" s="16" t="n">
        <f aca="false">E204-D203</f>
        <v>0.00695980318127987</v>
      </c>
    </row>
    <row r="205" customFormat="false" ht="15" hidden="false" customHeight="false" outlineLevel="0" collapsed="false">
      <c r="B205" s="18" t="n">
        <f aca="false">B204+7</f>
        <v>43682</v>
      </c>
      <c r="C205" s="69" t="n">
        <v>1851.6</v>
      </c>
      <c r="D205" s="16" t="n">
        <f aca="false">LN(C205)</f>
        <v>7.52380540915712</v>
      </c>
      <c r="E205" s="16" t="n">
        <f aca="false">LN(C205)</f>
        <v>7.52380540915712</v>
      </c>
      <c r="F205" s="16" t="n">
        <f aca="false">E205-D204</f>
        <v>-0.00527876259449478</v>
      </c>
    </row>
    <row r="206" customFormat="false" ht="15" hidden="false" customHeight="false" outlineLevel="0" collapsed="false">
      <c r="B206" s="18" t="n">
        <f aca="false">B205+7</f>
        <v>43689</v>
      </c>
      <c r="C206" s="69" t="n">
        <v>1779.29</v>
      </c>
      <c r="D206" s="16" t="n">
        <f aca="false">LN(C206)</f>
        <v>7.48396968730928</v>
      </c>
      <c r="E206" s="16" t="n">
        <f aca="false">LN(C206)</f>
        <v>7.48396968730928</v>
      </c>
      <c r="F206" s="16" t="n">
        <f aca="false">E206-D205</f>
        <v>-0.0398357218478322</v>
      </c>
    </row>
    <row r="207" customFormat="false" ht="15" hidden="false" customHeight="false" outlineLevel="0" collapsed="false">
      <c r="B207" s="18" t="n">
        <f aca="false">B206+7</f>
        <v>43696</v>
      </c>
      <c r="C207" s="69" t="n">
        <v>1827.12</v>
      </c>
      <c r="D207" s="16" t="n">
        <f aca="false">LN(C207)</f>
        <v>7.51049623566607</v>
      </c>
      <c r="E207" s="16" t="n">
        <f aca="false">LN(C207)</f>
        <v>7.51049623566607</v>
      </c>
      <c r="F207" s="16" t="n">
        <f aca="false">E207-D206</f>
        <v>0.0265265483567836</v>
      </c>
    </row>
    <row r="208" customFormat="false" ht="15" hidden="false" customHeight="false" outlineLevel="0" collapsed="false">
      <c r="B208" s="18" t="n">
        <f aca="false">B207+7</f>
        <v>43703</v>
      </c>
      <c r="C208" s="69" t="n">
        <v>1833.28</v>
      </c>
      <c r="D208" s="16" t="n">
        <f aca="false">LN(C208)</f>
        <v>7.51386199122021</v>
      </c>
      <c r="E208" s="16" t="n">
        <f aca="false">LN(C208)</f>
        <v>7.51386199122021</v>
      </c>
      <c r="F208" s="16" t="n">
        <f aca="false">E208-D207</f>
        <v>0.00336575555414598</v>
      </c>
    </row>
    <row r="209" customFormat="false" ht="15" hidden="false" customHeight="false" outlineLevel="0" collapsed="false">
      <c r="B209" s="18" t="n">
        <f aca="false">B208+7</f>
        <v>43710</v>
      </c>
      <c r="C209" s="69" t="n">
        <v>1804.17</v>
      </c>
      <c r="D209" s="16" t="n">
        <f aca="false">LN(C209)</f>
        <v>7.49785593121599</v>
      </c>
      <c r="E209" s="16" t="n">
        <f aca="false">LN(C209)</f>
        <v>7.49785593121599</v>
      </c>
      <c r="F209" s="16" t="n">
        <f aca="false">E209-D208</f>
        <v>-0.0160060600042264</v>
      </c>
    </row>
    <row r="210" customFormat="false" ht="15" hidden="false" customHeight="false" outlineLevel="0" collapsed="false">
      <c r="B210" s="18" t="n">
        <f aca="false">B209+7</f>
        <v>43717</v>
      </c>
      <c r="C210" s="69" t="n">
        <v>1832.62</v>
      </c>
      <c r="D210" s="16" t="n">
        <f aca="false">LN(C210)</f>
        <v>7.51350191592785</v>
      </c>
      <c r="E210" s="16" t="n">
        <f aca="false">LN(C210)</f>
        <v>7.51350191592785</v>
      </c>
      <c r="F210" s="16" t="n">
        <f aca="false">E210-D209</f>
        <v>0.0156459847118668</v>
      </c>
    </row>
    <row r="211" customFormat="false" ht="15" hidden="false" customHeight="false" outlineLevel="0" collapsed="false">
      <c r="B211" s="18" t="n">
        <f aca="false">B210+7</f>
        <v>43724</v>
      </c>
      <c r="C211" s="69" t="n">
        <v>1786.58</v>
      </c>
      <c r="D211" s="16" t="n">
        <f aca="false">LN(C211)</f>
        <v>7.48805845675753</v>
      </c>
      <c r="E211" s="16" t="n">
        <f aca="false">LN(C211)</f>
        <v>7.48805845675753</v>
      </c>
      <c r="F211" s="16" t="n">
        <f aca="false">E211-D210</f>
        <v>-0.0254434591703268</v>
      </c>
    </row>
    <row r="212" customFormat="false" ht="15" hidden="false" customHeight="false" outlineLevel="0" collapsed="false">
      <c r="B212" s="18" t="n">
        <f aca="false">B211+7</f>
        <v>43731</v>
      </c>
      <c r="C212" s="69" t="n">
        <v>1803.55</v>
      </c>
      <c r="D212" s="16" t="n">
        <f aca="false">LN(C212)</f>
        <v>7.49751222382955</v>
      </c>
      <c r="E212" s="16" t="n">
        <f aca="false">LN(C212)</f>
        <v>7.49751222382955</v>
      </c>
      <c r="F212" s="16" t="n">
        <f aca="false">E212-D211</f>
        <v>0.00945376707201984</v>
      </c>
    </row>
    <row r="213" customFormat="false" ht="15" hidden="false" customHeight="false" outlineLevel="0" collapsed="false">
      <c r="B213" s="18" t="n">
        <f aca="false">B212+7</f>
        <v>43738</v>
      </c>
      <c r="C213" s="69" t="n">
        <v>1805.59</v>
      </c>
      <c r="D213" s="16" t="n">
        <f aca="false">LN(C213)</f>
        <v>7.49864268716278</v>
      </c>
      <c r="E213" s="16" t="n">
        <f aca="false">LN(C213)</f>
        <v>7.49864268716278</v>
      </c>
      <c r="F213" s="16" t="n">
        <f aca="false">E213-D212</f>
        <v>0.00113046333323208</v>
      </c>
    </row>
    <row r="214" customFormat="false" ht="15" hidden="false" customHeight="false" outlineLevel="0" collapsed="false">
      <c r="B214" s="18" t="n">
        <f aca="false">B213+7</f>
        <v>43745</v>
      </c>
      <c r="C214" s="69" t="n">
        <v>1821.17</v>
      </c>
      <c r="D214" s="16" t="n">
        <f aca="false">LN(C214)</f>
        <v>7.50723443066956</v>
      </c>
      <c r="E214" s="16" t="n">
        <f aca="false">LN(C214)</f>
        <v>7.50723443066956</v>
      </c>
      <c r="F214" s="16" t="n">
        <f aca="false">E214-D213</f>
        <v>0.0085917435067806</v>
      </c>
    </row>
    <row r="215" customFormat="false" ht="15" hidden="false" customHeight="false" outlineLevel="0" collapsed="false">
      <c r="B215" s="18" t="n">
        <f aca="false">B214+7</f>
        <v>43752</v>
      </c>
      <c r="C215" s="69" t="n">
        <v>1841.26</v>
      </c>
      <c r="D215" s="16" t="n">
        <f aca="false">LN(C215)</f>
        <v>7.5182053988551</v>
      </c>
      <c r="E215" s="16" t="n">
        <f aca="false">LN(C215)</f>
        <v>7.5182053988551</v>
      </c>
      <c r="F215" s="16" t="n">
        <f aca="false">E215-D214</f>
        <v>0.0109709681855401</v>
      </c>
    </row>
    <row r="216" customFormat="false" ht="15" hidden="false" customHeight="false" outlineLevel="0" collapsed="false">
      <c r="B216" s="18" t="n">
        <f aca="false">B215+7</f>
        <v>43759</v>
      </c>
      <c r="C216" s="69" t="n">
        <v>1876.79</v>
      </c>
      <c r="D216" s="16" t="n">
        <f aca="false">LN(C216)</f>
        <v>7.53731814966677</v>
      </c>
      <c r="E216" s="16" t="n">
        <f aca="false">LN(C216)</f>
        <v>7.53731814966677</v>
      </c>
      <c r="F216" s="16" t="n">
        <f aca="false">E216-D215</f>
        <v>0.0191127508116731</v>
      </c>
    </row>
    <row r="217" customFormat="false" ht="15" hidden="false" customHeight="false" outlineLevel="0" collapsed="false">
      <c r="B217" s="18" t="n">
        <f aca="false">B216+7</f>
        <v>43766</v>
      </c>
      <c r="C217" s="69" t="n">
        <v>1918.4</v>
      </c>
      <c r="D217" s="16" t="n">
        <f aca="false">LN(C217)</f>
        <v>7.55924678427325</v>
      </c>
      <c r="E217" s="16" t="n">
        <f aca="false">LN(C217)</f>
        <v>7.55924678427325</v>
      </c>
      <c r="F217" s="16" t="n">
        <f aca="false">E217-D216</f>
        <v>0.0219286346064775</v>
      </c>
    </row>
    <row r="218" customFormat="false" ht="15" hidden="false" customHeight="false" outlineLevel="0" collapsed="false">
      <c r="B218" s="18" t="n">
        <f aca="false">B217+7</f>
        <v>43773</v>
      </c>
      <c r="C218" s="69" t="n">
        <v>1946.75</v>
      </c>
      <c r="D218" s="16" t="n">
        <f aca="false">LN(C218)</f>
        <v>7.5739165944571</v>
      </c>
      <c r="E218" s="16" t="n">
        <f aca="false">LN(C218)</f>
        <v>7.5739165944571</v>
      </c>
      <c r="F218" s="16" t="n">
        <f aca="false">E218-D217</f>
        <v>0.0146698101838458</v>
      </c>
    </row>
    <row r="219" customFormat="false" ht="15" hidden="false" customHeight="false" outlineLevel="0" collapsed="false">
      <c r="B219" s="18" t="n">
        <f aca="false">B218+7</f>
        <v>43780</v>
      </c>
      <c r="C219" s="69" t="n">
        <v>1920.85</v>
      </c>
      <c r="D219" s="16" t="n">
        <f aca="false">LN(C219)</f>
        <v>7.56052307538874</v>
      </c>
      <c r="E219" s="16" t="n">
        <f aca="false">LN(C219)</f>
        <v>7.56052307538874</v>
      </c>
      <c r="F219" s="16" t="n">
        <f aca="false">E219-D218</f>
        <v>-0.013393519068357</v>
      </c>
    </row>
    <row r="220" customFormat="false" ht="15" hidden="false" customHeight="false" outlineLevel="0" collapsed="false">
      <c r="B220" s="18" t="n">
        <f aca="false">B219+7</f>
        <v>43787</v>
      </c>
      <c r="C220" s="69" t="n">
        <v>1874.13</v>
      </c>
      <c r="D220" s="16" t="n">
        <f aca="false">LN(C220)</f>
        <v>7.5358998307232</v>
      </c>
      <c r="E220" s="16" t="n">
        <f aca="false">LN(C220)</f>
        <v>7.5358998307232</v>
      </c>
      <c r="F220" s="16" t="n">
        <f aca="false">E220-D219</f>
        <v>-0.0246232446655386</v>
      </c>
    </row>
    <row r="221" customFormat="false" ht="15" hidden="false" customHeight="false" outlineLevel="0" collapsed="false">
      <c r="B221" s="18" t="n">
        <f aca="false">B220+7</f>
        <v>43794</v>
      </c>
      <c r="C221" s="69" t="n">
        <v>1841.8</v>
      </c>
      <c r="D221" s="16" t="n">
        <f aca="false">LN(C221)</f>
        <v>7.51849863328727</v>
      </c>
      <c r="E221" s="16" t="n">
        <f aca="false">LN(C221)</f>
        <v>7.51849863328727</v>
      </c>
      <c r="F221" s="16" t="n">
        <f aca="false">E221-D220</f>
        <v>-0.0174011974359338</v>
      </c>
    </row>
    <row r="222" customFormat="false" ht="15" hidden="false" customHeight="false" outlineLevel="0" collapsed="false">
      <c r="B222" s="22" t="n">
        <f aca="false">D196</f>
        <v>43801</v>
      </c>
      <c r="C222" s="72" t="n">
        <v>1874.61</v>
      </c>
      <c r="D222" s="13" t="n">
        <f aca="false">LN(C222)</f>
        <v>7.53615591676951</v>
      </c>
      <c r="E222" s="13" t="n">
        <f aca="false">LN(C222)</f>
        <v>7.53615591676951</v>
      </c>
      <c r="F222" s="13" t="n">
        <f aca="false">E222-D221</f>
        <v>0.0176572834822446</v>
      </c>
    </row>
    <row r="223" customFormat="false" ht="15" hidden="false" customHeight="false" outlineLevel="0" collapsed="false">
      <c r="B223" s="22" t="n">
        <f aca="false">B222+7</f>
        <v>43808</v>
      </c>
      <c r="C223" s="72" t="n">
        <v>1903.17</v>
      </c>
      <c r="D223" s="13" t="n">
        <f aca="false">LN(C223)</f>
        <v>7.55127619593891</v>
      </c>
      <c r="E223" s="13" t="n">
        <f aca="false">LN(C223)</f>
        <v>7.55127619593891</v>
      </c>
      <c r="F223" s="13" t="n">
        <f aca="false">E223-D222</f>
        <v>0.0151202791694018</v>
      </c>
    </row>
    <row r="224" customFormat="false" ht="15" hidden="false" customHeight="false" outlineLevel="0" collapsed="false">
      <c r="B224" s="22" t="n">
        <f aca="false">B223+7</f>
        <v>43815</v>
      </c>
      <c r="C224" s="72" t="n">
        <v>1843.16</v>
      </c>
      <c r="D224" s="13" t="n">
        <f aca="false">LN(C224)</f>
        <v>7.51923676887721</v>
      </c>
      <c r="E224" s="13" t="n">
        <f aca="false">LN(C224)</f>
        <v>7.51923676887721</v>
      </c>
      <c r="F224" s="13" t="n">
        <f aca="false">E224-D223</f>
        <v>-0.0320394270617079</v>
      </c>
    </row>
    <row r="225" customFormat="false" ht="15" hidden="false" customHeight="false" outlineLevel="0" collapsed="false">
      <c r="B225" s="22" t="n">
        <f aca="false">B224+7</f>
        <v>43822</v>
      </c>
      <c r="C225" s="72" t="n">
        <v>1863.65</v>
      </c>
      <c r="D225" s="13" t="n">
        <f aca="false">LN(C225)</f>
        <v>7.53029220937453</v>
      </c>
      <c r="E225" s="13" t="n">
        <f aca="false">LN(C225)</f>
        <v>7.53029220937453</v>
      </c>
      <c r="F225" s="13" t="n">
        <f aca="false">E225-D224</f>
        <v>0.0110554404973255</v>
      </c>
    </row>
    <row r="226" customFormat="false" ht="15" hidden="false" customHeight="false" outlineLevel="0" collapsed="false">
      <c r="B226" s="22" t="n">
        <f aca="false">B225+7</f>
        <v>43829</v>
      </c>
      <c r="C226" s="72" t="n">
        <v>1844.48</v>
      </c>
      <c r="D226" s="13" t="n">
        <f aca="false">LN(C226)</f>
        <v>7.51995267393105</v>
      </c>
      <c r="E226" s="13" t="n">
        <f aca="false">LN(C226)</f>
        <v>7.51995267393105</v>
      </c>
      <c r="F226" s="13" t="n">
        <f aca="false">E226-D225</f>
        <v>-0.0103395354434825</v>
      </c>
    </row>
    <row r="227" customFormat="false" ht="15" hidden="false" customHeight="false" outlineLevel="0" collapsed="false">
      <c r="B227" s="22" t="n">
        <f aca="false">B226+7</f>
        <v>43836</v>
      </c>
      <c r="C227" s="72" t="n">
        <v>1827.52</v>
      </c>
      <c r="D227" s="13" t="n">
        <f aca="false">LN(C227)</f>
        <v>7.5107151354765</v>
      </c>
      <c r="E227" s="13" t="n">
        <f aca="false">LN(C227)</f>
        <v>7.5107151354765</v>
      </c>
      <c r="F227" s="13" t="n">
        <f aca="false">E227-D226</f>
        <v>-0.00923753845455</v>
      </c>
    </row>
    <row r="228" customFormat="false" ht="15" hidden="false" customHeight="false" outlineLevel="0" collapsed="false">
      <c r="B228" s="22" t="n">
        <f aca="false">B227+7</f>
        <v>43843</v>
      </c>
      <c r="C228" s="72" t="n">
        <v>1846.91</v>
      </c>
      <c r="D228" s="13" t="n">
        <f aca="false">LN(C228)</f>
        <v>7.52126925134552</v>
      </c>
      <c r="E228" s="13" t="n">
        <f aca="false">LN(C228)</f>
        <v>7.52126925134552</v>
      </c>
      <c r="F228" s="13" t="n">
        <f aca="false">E228-D227</f>
        <v>0.0105541158690246</v>
      </c>
    </row>
    <row r="229" customFormat="false" ht="15" hidden="false" customHeight="false" outlineLevel="0" collapsed="false">
      <c r="B229" s="22" t="n">
        <f aca="false">B228+7</f>
        <v>43850</v>
      </c>
      <c r="C229" s="72" t="n">
        <v>1810.37</v>
      </c>
      <c r="D229" s="13" t="n">
        <f aca="false">LN(C229)</f>
        <v>7.50128652325848</v>
      </c>
      <c r="E229" s="13" t="n">
        <f aca="false">LN(C229)</f>
        <v>7.50128652325848</v>
      </c>
      <c r="F229" s="13" t="n">
        <f aca="false">E229-D228</f>
        <v>-0.0199827280870473</v>
      </c>
    </row>
    <row r="230" customFormat="false" ht="15" hidden="false" customHeight="false" outlineLevel="0" collapsed="false">
      <c r="B230" s="22" t="n">
        <f aca="false">B229+7</f>
        <v>43857</v>
      </c>
      <c r="C230" s="72" t="n">
        <v>1724.93</v>
      </c>
      <c r="D230" s="13" t="n">
        <f aca="false">LN(C230)</f>
        <v>7.45294174893194</v>
      </c>
      <c r="E230" s="13" t="n">
        <f aca="false">LN(C230)</f>
        <v>7.45294174893194</v>
      </c>
      <c r="F230" s="13" t="n">
        <f aca="false">E230-D229</f>
        <v>-0.0483447743265382</v>
      </c>
    </row>
    <row r="231" customFormat="false" ht="15" hidden="false" customHeight="false" outlineLevel="0" collapsed="false">
      <c r="B231" s="22" t="n">
        <f aca="false">B230+7</f>
        <v>43864</v>
      </c>
      <c r="C231" s="72" t="n">
        <v>1791.09</v>
      </c>
      <c r="D231" s="13" t="n">
        <f aca="false">LN(C231)</f>
        <v>7.49057965205444</v>
      </c>
      <c r="E231" s="13" t="n">
        <f aca="false">LN(C231)</f>
        <v>7.49057965205444</v>
      </c>
      <c r="F231" s="13" t="n">
        <f aca="false">E231-D230</f>
        <v>0.037637903122504</v>
      </c>
    </row>
    <row r="232" customFormat="false" ht="15" hidden="false" customHeight="false" outlineLevel="0" collapsed="false">
      <c r="B232" s="22" t="n">
        <f aca="false">B231+7</f>
        <v>43871</v>
      </c>
      <c r="C232" s="72" t="n">
        <v>1738.95</v>
      </c>
      <c r="D232" s="13" t="n">
        <f aca="false">LN(C232)</f>
        <v>7.46103676178452</v>
      </c>
      <c r="E232" s="13" t="n">
        <f aca="false">LN(C232)</f>
        <v>7.46103676178452</v>
      </c>
      <c r="F232" s="13" t="n">
        <f aca="false">E232-D231</f>
        <v>-0.0295428902699211</v>
      </c>
    </row>
    <row r="233" customFormat="false" ht="15" hidden="false" customHeight="false" outlineLevel="0" collapsed="false">
      <c r="B233" s="22" t="n">
        <f aca="false">B232+7</f>
        <v>43878</v>
      </c>
      <c r="C233" s="72" t="n">
        <v>1738.92</v>
      </c>
      <c r="D233" s="13" t="n">
        <f aca="false">LN(C233)</f>
        <v>7.46101950984583</v>
      </c>
      <c r="E233" s="13" t="n">
        <f aca="false">LN(C233)</f>
        <v>7.46101950984583</v>
      </c>
      <c r="F233" s="13" t="n">
        <f aca="false">E233-D232</f>
        <v>-1.72519386865133E-005</v>
      </c>
    </row>
    <row r="234" customFormat="false" ht="15" hidden="false" customHeight="false" outlineLevel="0" collapsed="false">
      <c r="B234" s="22" t="n">
        <f aca="false">B233+7</f>
        <v>43885</v>
      </c>
      <c r="C234" s="72" t="n">
        <v>1605.99</v>
      </c>
      <c r="D234" s="13" t="n">
        <f aca="false">LN(C234)</f>
        <v>7.38149566783726</v>
      </c>
      <c r="E234" s="13" t="n">
        <f aca="false">LN(C234)</f>
        <v>7.38149566783726</v>
      </c>
      <c r="F234" s="13" t="n">
        <f aca="false">E234-D233</f>
        <v>-0.079523842008574</v>
      </c>
    </row>
    <row r="235" customFormat="false" ht="15" hidden="false" customHeight="false" outlineLevel="0" collapsed="false">
      <c r="B235" s="22" t="n">
        <f aca="false">B234+7</f>
        <v>43892</v>
      </c>
      <c r="C235" s="72" t="n">
        <v>1596.23</v>
      </c>
      <c r="D235" s="13" t="n">
        <f aca="false">LN(C235)</f>
        <v>7.37539987790256</v>
      </c>
      <c r="E235" s="13" t="n">
        <f aca="false">LN(C235)</f>
        <v>7.37539987790256</v>
      </c>
      <c r="F235" s="13" t="n">
        <f aca="false">E235-D234</f>
        <v>-0.0060957899347045</v>
      </c>
    </row>
    <row r="236" customFormat="false" ht="15" hidden="false" customHeight="false" outlineLevel="0" collapsed="false">
      <c r="B236" s="22" t="n">
        <f aca="false">B235+7</f>
        <v>43899</v>
      </c>
      <c r="C236" s="72" t="n">
        <v>1415.66</v>
      </c>
      <c r="D236" s="13" t="n">
        <f aca="false">LN(C236)</f>
        <v>7.25535113242758</v>
      </c>
      <c r="E236" s="13" t="n">
        <f aca="false">LN(C236)</f>
        <v>7.25535113242758</v>
      </c>
      <c r="F236" s="13" t="n">
        <f aca="false">E236-D235</f>
        <v>-0.12004874547498</v>
      </c>
    </row>
    <row r="237" customFormat="false" ht="15" hidden="false" customHeight="false" outlineLevel="0" collapsed="false">
      <c r="B237" s="22" t="n">
        <f aca="false">B236+7</f>
        <v>43906</v>
      </c>
      <c r="C237" s="72" t="n">
        <v>1163.69</v>
      </c>
      <c r="D237" s="13" t="n">
        <f aca="false">LN(C237)</f>
        <v>7.05935126979705</v>
      </c>
      <c r="E237" s="13" t="n">
        <f aca="false">LN(C237)</f>
        <v>7.05935126979705</v>
      </c>
      <c r="F237" s="13" t="n">
        <f aca="false">E237-D236</f>
        <v>-0.195999862630521</v>
      </c>
    </row>
    <row r="238" customFormat="false" ht="15" hidden="false" customHeight="false" outlineLevel="0" collapsed="false">
      <c r="B238" s="20" t="n">
        <f aca="false">B237+7</f>
        <v>43913</v>
      </c>
      <c r="C238" s="77" t="n">
        <v>1217.28</v>
      </c>
      <c r="D238" s="13" t="n">
        <f aca="false">LN(C238)</f>
        <v>7.10437414047692</v>
      </c>
      <c r="E238" s="13" t="n">
        <f aca="false">LN(C238)</f>
        <v>7.10437414047692</v>
      </c>
      <c r="F238" s="13" t="n">
        <f aca="false">E238-D237</f>
        <v>0.0450228706798628</v>
      </c>
    </row>
    <row r="239" customFormat="false" ht="15" hidden="false" customHeight="false" outlineLevel="0" collapsed="false">
      <c r="B239" s="20" t="n">
        <f aca="false">B238+7</f>
        <v>43920</v>
      </c>
      <c r="C239" s="72" t="n">
        <v>1183.78</v>
      </c>
      <c r="D239" s="13" t="n">
        <f aca="false">LN(C239)</f>
        <v>7.07646798736817</v>
      </c>
      <c r="E239" s="13" t="n">
        <f aca="false">LN(C239)</f>
        <v>7.07646798736817</v>
      </c>
      <c r="F239" s="13" t="n">
        <f aca="false">E239-D238</f>
        <v>-0.0279061531087432</v>
      </c>
    </row>
    <row r="240" customFormat="false" ht="15" hidden="false" customHeight="false" outlineLevel="0" collapsed="false">
      <c r="B240" s="20" t="n">
        <f aca="false">B239+7</f>
        <v>43927</v>
      </c>
      <c r="C240" s="72" t="n">
        <v>1157.37</v>
      </c>
      <c r="D240" s="13" t="n">
        <f aca="false">LN(C240)</f>
        <v>7.05390546863792</v>
      </c>
      <c r="E240" s="13" t="n">
        <f aca="false">LN(C240)</f>
        <v>7.05390546863792</v>
      </c>
      <c r="F240" s="13" t="n">
        <f aca="false">E240-D239</f>
        <v>-0.0225625187302567</v>
      </c>
    </row>
    <row r="241" customFormat="false" ht="15" hidden="false" customHeight="false" outlineLevel="0" collapsed="false">
      <c r="B241" s="20" t="n">
        <f aca="false">B240+7</f>
        <v>43934</v>
      </c>
      <c r="C241" s="72" t="n">
        <v>1235.72</v>
      </c>
      <c r="D241" s="13" t="n">
        <f aca="false">LN(C241)</f>
        <v>7.11940907513738</v>
      </c>
      <c r="E241" s="13" t="n">
        <f aca="false">LN(C241)</f>
        <v>7.11940907513738</v>
      </c>
      <c r="F241" s="13" t="n">
        <f aca="false">E241-D240</f>
        <v>0.0655036064994601</v>
      </c>
    </row>
    <row r="242" customFormat="false" ht="15" hidden="false" customHeight="false" outlineLevel="0" collapsed="false">
      <c r="B242" s="20" t="n">
        <f aca="false">B241+7</f>
        <v>43941</v>
      </c>
      <c r="C242" s="72" t="n">
        <v>1188.69</v>
      </c>
      <c r="D242" s="13" t="n">
        <f aca="false">LN(C242)</f>
        <v>7.08060713939967</v>
      </c>
      <c r="E242" s="13" t="n">
        <f aca="false">LN(C242)</f>
        <v>7.08060713939967</v>
      </c>
      <c r="F242" s="13" t="n">
        <f aca="false">E242-D241</f>
        <v>-0.0388019357377107</v>
      </c>
    </row>
    <row r="243" customFormat="false" ht="15" hidden="false" customHeight="false" outlineLevel="0" collapsed="false">
      <c r="B243" s="20" t="n">
        <f aca="false">B242+7</f>
        <v>43948</v>
      </c>
      <c r="C243" s="72" t="n">
        <v>1188.67</v>
      </c>
      <c r="D243" s="13" t="n">
        <f aca="false">LN(C243)</f>
        <v>7.08059031401352</v>
      </c>
      <c r="E243" s="13" t="n">
        <f aca="false">LN(C243)</f>
        <v>7.08059031401352</v>
      </c>
      <c r="F243" s="13" t="n">
        <f aca="false">E243-D242</f>
        <v>-1.68253861430046E-005</v>
      </c>
    </row>
    <row r="244" customFormat="false" ht="15" hidden="false" customHeight="false" outlineLevel="0" collapsed="false">
      <c r="B244" s="20" t="n">
        <f aca="false">B243+7</f>
        <v>43955</v>
      </c>
      <c r="C244" s="72" t="n">
        <v>1148.08</v>
      </c>
      <c r="D244" s="13" t="n">
        <f aca="false">LN(C244)</f>
        <v>7.04584626086268</v>
      </c>
      <c r="E244" s="13" t="n">
        <f aca="false">LN(C244)</f>
        <v>7.04584626086268</v>
      </c>
      <c r="F244" s="13" t="n">
        <f aca="false">E244-D243</f>
        <v>-0.0347440531508463</v>
      </c>
    </row>
    <row r="245" customFormat="false" ht="15" hidden="false" customHeight="false" outlineLevel="0" collapsed="false">
      <c r="B245" s="20" t="n">
        <f aca="false">B244+7</f>
        <v>43962</v>
      </c>
      <c r="C245" s="72" t="n">
        <v>1129.4</v>
      </c>
      <c r="D245" s="13" t="n">
        <f aca="false">LN(C245)</f>
        <v>7.02944179723874</v>
      </c>
      <c r="E245" s="13" t="n">
        <f aca="false">LN(C245)</f>
        <v>7.02944179723874</v>
      </c>
      <c r="F245" s="13" t="n">
        <f aca="false">E245-D244</f>
        <v>-0.0164044636239398</v>
      </c>
    </row>
    <row r="246" customFormat="false" ht="15" hidden="false" customHeight="false" outlineLevel="0" collapsed="false">
      <c r="B246" s="20" t="n">
        <f aca="false">B245+7</f>
        <v>43969</v>
      </c>
      <c r="C246" s="72" t="n">
        <v>1102.5</v>
      </c>
      <c r="D246" s="13" t="n">
        <f aca="false">LN(C246)</f>
        <v>7.005335607321</v>
      </c>
      <c r="E246" s="13" t="n">
        <f aca="false">LN(C246)</f>
        <v>7.005335607321</v>
      </c>
      <c r="F246" s="13" t="n">
        <f aca="false">E246-D245</f>
        <v>-0.0241061899177355</v>
      </c>
    </row>
    <row r="247" customFormat="false" ht="15" hidden="false" customHeight="false" outlineLevel="0" collapsed="false">
      <c r="B247" s="20" t="n">
        <f aca="false">B246+7</f>
        <v>43976</v>
      </c>
      <c r="C247" s="72" t="n">
        <v>1176.42</v>
      </c>
      <c r="D247" s="13"/>
      <c r="E247" s="13" t="n">
        <f aca="false">LN(C247)</f>
        <v>7.07023120755539</v>
      </c>
      <c r="F247" s="13" t="n">
        <f aca="false">E247-D246</f>
        <v>0.0648956002343848</v>
      </c>
    </row>
    <row r="254" customFormat="false" ht="15" hidden="false" customHeight="false" outlineLevel="0" collapsed="false">
      <c r="B254" s="2" t="s">
        <v>26</v>
      </c>
      <c r="C254" s="2"/>
      <c r="D254" s="2"/>
      <c r="E254" s="2"/>
      <c r="F254" s="67"/>
    </row>
    <row r="255" customFormat="false" ht="15" hidden="false" customHeight="false" outlineLevel="0" collapsed="false">
      <c r="B255" s="4" t="s">
        <v>3</v>
      </c>
      <c r="C255" s="4"/>
      <c r="D255" s="4"/>
      <c r="F255" s="67"/>
    </row>
    <row r="256" customFormat="false" ht="15" hidden="false" customHeight="false" outlineLevel="0" collapsed="false">
      <c r="B256" s="6" t="s">
        <v>4</v>
      </c>
      <c r="C256" s="7" t="s">
        <v>29</v>
      </c>
      <c r="D256" s="7"/>
    </row>
    <row r="257" customFormat="false" ht="15" hidden="false" customHeight="false" outlineLevel="0" collapsed="false">
      <c r="B257" s="6" t="s">
        <v>8</v>
      </c>
      <c r="C257" s="7" t="s">
        <v>9</v>
      </c>
      <c r="D257" s="7"/>
    </row>
    <row r="258" customFormat="false" ht="15" hidden="false" customHeight="false" outlineLevel="0" collapsed="false">
      <c r="B258" s="6" t="s">
        <v>10</v>
      </c>
      <c r="C258" s="6" t="s">
        <v>11</v>
      </c>
      <c r="D258" s="6" t="s">
        <v>12</v>
      </c>
    </row>
    <row r="259" customFormat="false" ht="15" hidden="false" customHeight="false" outlineLevel="0" collapsed="false">
      <c r="B259" s="6" t="s">
        <v>13</v>
      </c>
      <c r="C259" s="8" t="n">
        <f aca="false">DATE(2019,7,1)</f>
        <v>43647</v>
      </c>
      <c r="D259" s="8" t="n">
        <f aca="false">DATE(2019,12,2)</f>
        <v>43801</v>
      </c>
    </row>
    <row r="260" customFormat="false" ht="15" hidden="false" customHeight="false" outlineLevel="0" collapsed="false">
      <c r="B260" s="6" t="s">
        <v>14</v>
      </c>
      <c r="C260" s="8" t="n">
        <f aca="false">DATE(2019,11,25)</f>
        <v>43794</v>
      </c>
      <c r="D260" s="8" t="n">
        <f aca="false">DATE(2020,5,25)</f>
        <v>43976</v>
      </c>
    </row>
    <row r="261" customFormat="false" ht="15" hidden="false" customHeight="false" outlineLevel="0" collapsed="false">
      <c r="B261" s="6" t="s">
        <v>15</v>
      </c>
      <c r="C261" s="10" t="s">
        <v>32</v>
      </c>
      <c r="D261" s="75"/>
    </row>
    <row r="262" customFormat="false" ht="15" hidden="false" customHeight="false" outlineLevel="0" collapsed="false">
      <c r="B262" s="16" t="s">
        <v>21</v>
      </c>
      <c r="C262" s="69" t="s">
        <v>22</v>
      </c>
      <c r="D262" s="16" t="s">
        <v>76</v>
      </c>
      <c r="E262" s="16" t="s">
        <v>77</v>
      </c>
      <c r="F262" s="16" t="s">
        <v>75</v>
      </c>
    </row>
    <row r="263" customFormat="false" ht="15" hidden="false" customHeight="false" outlineLevel="0" collapsed="false">
      <c r="B263" s="18" t="n">
        <f aca="false">C259</f>
        <v>43647</v>
      </c>
      <c r="C263" s="70" t="n">
        <v>1695.66</v>
      </c>
      <c r="D263" s="16" t="n">
        <f aca="false">LN(C263)</f>
        <v>7.4358273245566</v>
      </c>
      <c r="E263" s="16"/>
      <c r="F263" s="16"/>
    </row>
    <row r="264" customFormat="false" ht="15" hidden="false" customHeight="false" outlineLevel="0" collapsed="false">
      <c r="B264" s="18" t="n">
        <f aca="false">B263+7</f>
        <v>43654</v>
      </c>
      <c r="C264" s="70" t="n">
        <v>1693.65</v>
      </c>
      <c r="D264" s="16" t="n">
        <f aca="false">LN(C264)</f>
        <v>7.43464124229464</v>
      </c>
      <c r="E264" s="16" t="n">
        <f aca="false">LN(C264)</f>
        <v>7.43464124229464</v>
      </c>
      <c r="F264" s="16" t="n">
        <f aca="false">E264-D263</f>
        <v>-0.00118608226195693</v>
      </c>
    </row>
    <row r="265" customFormat="false" ht="15" hidden="false" customHeight="false" outlineLevel="0" collapsed="false">
      <c r="B265" s="18" t="n">
        <f aca="false">B264+7</f>
        <v>43661</v>
      </c>
      <c r="C265" s="70" t="n">
        <v>1681.71</v>
      </c>
      <c r="D265" s="16" t="n">
        <f aca="false">LN(C265)</f>
        <v>7.42756641187482</v>
      </c>
      <c r="E265" s="16" t="n">
        <f aca="false">LN(C265)</f>
        <v>7.42756641187482</v>
      </c>
      <c r="F265" s="16" t="n">
        <f aca="false">E265-D264</f>
        <v>-0.0070748304198176</v>
      </c>
    </row>
    <row r="266" customFormat="false" ht="15" hidden="false" customHeight="false" outlineLevel="0" collapsed="false">
      <c r="B266" s="18" t="n">
        <f aca="false">B265+7</f>
        <v>43668</v>
      </c>
      <c r="C266" s="70" t="n">
        <v>1651.9</v>
      </c>
      <c r="D266" s="16" t="n">
        <f aca="false">LN(C266)</f>
        <v>7.4096814195611</v>
      </c>
      <c r="E266" s="16" t="n">
        <f aca="false">LN(C266)</f>
        <v>7.4096814195611</v>
      </c>
      <c r="F266" s="16" t="n">
        <f aca="false">E266-D265</f>
        <v>-0.0178849923137285</v>
      </c>
    </row>
    <row r="267" customFormat="false" ht="15" hidden="false" customHeight="false" outlineLevel="0" collapsed="false">
      <c r="B267" s="18" t="n">
        <f aca="false">B266+7</f>
        <v>43675</v>
      </c>
      <c r="C267" s="70" t="n">
        <v>1613.12</v>
      </c>
      <c r="D267" s="16" t="n">
        <f aca="false">LN(C267)</f>
        <v>7.38592547089427</v>
      </c>
      <c r="E267" s="16" t="n">
        <f aca="false">LN(C267)</f>
        <v>7.38592547089427</v>
      </c>
      <c r="F267" s="16" t="n">
        <f aca="false">E267-D266</f>
        <v>-0.0237559486668291</v>
      </c>
    </row>
    <row r="268" customFormat="false" ht="15" hidden="false" customHeight="false" outlineLevel="0" collapsed="false">
      <c r="B268" s="18" t="n">
        <f aca="false">B267+7</f>
        <v>43682</v>
      </c>
      <c r="C268" s="70" t="n">
        <v>1591.59</v>
      </c>
      <c r="D268" s="16" t="n">
        <f aca="false">LN(C268)</f>
        <v>7.37248879554736</v>
      </c>
      <c r="E268" s="16" t="n">
        <f aca="false">LN(C268)</f>
        <v>7.37248879554736</v>
      </c>
      <c r="F268" s="16" t="n">
        <f aca="false">E268-D267</f>
        <v>-0.0134366753469051</v>
      </c>
    </row>
    <row r="269" customFormat="false" ht="15" hidden="false" customHeight="false" outlineLevel="0" collapsed="false">
      <c r="B269" s="18" t="n">
        <f aca="false">B268+7</f>
        <v>43689</v>
      </c>
      <c r="C269" s="70" t="n">
        <v>1568.85</v>
      </c>
      <c r="D269" s="16" t="n">
        <f aca="false">LN(C269)</f>
        <v>7.35809814586839</v>
      </c>
      <c r="E269" s="16" t="n">
        <f aca="false">LN(C269)</f>
        <v>7.35809814586839</v>
      </c>
      <c r="F269" s="16" t="n">
        <f aca="false">E269-D268</f>
        <v>-0.0143906496789743</v>
      </c>
    </row>
    <row r="270" customFormat="false" ht="15" hidden="false" customHeight="false" outlineLevel="0" collapsed="false">
      <c r="B270" s="18" t="n">
        <f aca="false">B269+7</f>
        <v>43696</v>
      </c>
      <c r="C270" s="70" t="n">
        <v>1589.89</v>
      </c>
      <c r="D270" s="16" t="n">
        <f aca="false">LN(C270)</f>
        <v>7.37142011043113</v>
      </c>
      <c r="E270" s="16" t="n">
        <f aca="false">LN(C270)</f>
        <v>7.37142011043113</v>
      </c>
      <c r="F270" s="16" t="n">
        <f aca="false">E270-D269</f>
        <v>0.0133219645627412</v>
      </c>
    </row>
    <row r="271" customFormat="false" ht="15" hidden="false" customHeight="false" outlineLevel="0" collapsed="false">
      <c r="B271" s="18" t="n">
        <f aca="false">B270+7</f>
        <v>43703</v>
      </c>
      <c r="C271" s="70" t="n">
        <v>1623.75</v>
      </c>
      <c r="D271" s="16" t="n">
        <f aca="false">LN(C271)</f>
        <v>7.39249356798481</v>
      </c>
      <c r="E271" s="16" t="n">
        <f aca="false">LN(C271)</f>
        <v>7.39249356798481</v>
      </c>
      <c r="F271" s="16" t="n">
        <f aca="false">E271-D270</f>
        <v>0.0210734575536815</v>
      </c>
    </row>
    <row r="272" customFormat="false" ht="15" hidden="false" customHeight="false" outlineLevel="0" collapsed="false">
      <c r="B272" s="18" t="n">
        <f aca="false">B271+7</f>
        <v>43710</v>
      </c>
      <c r="C272" s="70" t="n">
        <v>1594.99</v>
      </c>
      <c r="D272" s="16" t="n">
        <f aca="false">LN(C272)</f>
        <v>7.37462274560681</v>
      </c>
      <c r="E272" s="16" t="n">
        <f aca="false">LN(C272)</f>
        <v>7.37462274560681</v>
      </c>
      <c r="F272" s="16" t="n">
        <f aca="false">E272-D271</f>
        <v>-0.0178708223779953</v>
      </c>
    </row>
    <row r="273" customFormat="false" ht="15" hidden="false" customHeight="false" outlineLevel="0" collapsed="false">
      <c r="B273" s="18" t="n">
        <f aca="false">B272+7</f>
        <v>43717</v>
      </c>
      <c r="C273" s="70" t="n">
        <v>1623.61</v>
      </c>
      <c r="D273" s="16" t="n">
        <f aca="false">LN(C273)</f>
        <v>7.39240734409828</v>
      </c>
      <c r="E273" s="16" t="n">
        <f aca="false">LN(C273)</f>
        <v>7.39240734409828</v>
      </c>
      <c r="F273" s="16" t="n">
        <f aca="false">E273-D272</f>
        <v>0.0177845984914615</v>
      </c>
    </row>
    <row r="274" customFormat="false" ht="15" hidden="false" customHeight="false" outlineLevel="0" collapsed="false">
      <c r="B274" s="18" t="n">
        <f aca="false">B273+7</f>
        <v>43724</v>
      </c>
      <c r="C274" s="70" t="n">
        <v>1588.84</v>
      </c>
      <c r="D274" s="16" t="n">
        <f aca="false">LN(C274)</f>
        <v>7.37075946920763</v>
      </c>
      <c r="E274" s="16" t="n">
        <f aca="false">LN(C274)</f>
        <v>7.37075946920763</v>
      </c>
      <c r="F274" s="16" t="n">
        <f aca="false">E274-D273</f>
        <v>-0.0216478748906477</v>
      </c>
    </row>
    <row r="275" customFormat="false" ht="15" hidden="false" customHeight="false" outlineLevel="0" collapsed="false">
      <c r="B275" s="18" t="n">
        <f aca="false">B274+7</f>
        <v>43731</v>
      </c>
      <c r="C275" s="70" t="n">
        <v>1544.02</v>
      </c>
      <c r="D275" s="16" t="n">
        <f aca="false">LN(C275)</f>
        <v>7.3421446838687</v>
      </c>
      <c r="E275" s="16" t="n">
        <f aca="false">LN(C275)</f>
        <v>7.3421446838687</v>
      </c>
      <c r="F275" s="16" t="n">
        <f aca="false">E275-D274</f>
        <v>-0.0286147853389247</v>
      </c>
    </row>
    <row r="276" customFormat="false" ht="15" hidden="false" customHeight="false" outlineLevel="0" collapsed="false">
      <c r="B276" s="18" t="n">
        <f aca="false">B275+7</f>
        <v>43738</v>
      </c>
      <c r="C276" s="70" t="n">
        <v>1510.64</v>
      </c>
      <c r="D276" s="16" t="n">
        <f aca="false">LN(C276)</f>
        <v>7.32028868107332</v>
      </c>
      <c r="E276" s="16" t="n">
        <f aca="false">LN(C276)</f>
        <v>7.32028868107332</v>
      </c>
      <c r="F276" s="16" t="n">
        <f aca="false">E276-D275</f>
        <v>-0.0218560027953805</v>
      </c>
    </row>
    <row r="277" customFormat="false" ht="15" hidden="false" customHeight="false" outlineLevel="0" collapsed="false">
      <c r="B277" s="18" t="n">
        <f aca="false">B276+7</f>
        <v>43745</v>
      </c>
      <c r="C277" s="70" t="n">
        <v>1526.32</v>
      </c>
      <c r="D277" s="16" t="n">
        <f aca="false">LN(C277)</f>
        <v>7.33061488841906</v>
      </c>
      <c r="E277" s="16" t="n">
        <f aca="false">LN(C277)</f>
        <v>7.33061488841906</v>
      </c>
      <c r="F277" s="16" t="n">
        <f aca="false">E277-D276</f>
        <v>0.0103262073457326</v>
      </c>
    </row>
    <row r="278" customFormat="false" ht="15" hidden="false" customHeight="false" outlineLevel="0" collapsed="false">
      <c r="B278" s="18" t="n">
        <f aca="false">B277+7</f>
        <v>43752</v>
      </c>
      <c r="C278" s="70" t="n">
        <v>1530.25</v>
      </c>
      <c r="D278" s="16" t="n">
        <f aca="false">LN(C278)</f>
        <v>7.33318639973118</v>
      </c>
      <c r="E278" s="16" t="n">
        <f aca="false">LN(C278)</f>
        <v>7.33318639973118</v>
      </c>
      <c r="F278" s="16" t="n">
        <f aca="false">E278-D277</f>
        <v>0.00257151131212385</v>
      </c>
    </row>
    <row r="279" customFormat="false" ht="15" hidden="false" customHeight="false" outlineLevel="0" collapsed="false">
      <c r="B279" s="18" t="n">
        <f aca="false">B278+7</f>
        <v>43759</v>
      </c>
      <c r="C279" s="70" t="n">
        <v>1531.53</v>
      </c>
      <c r="D279" s="16" t="n">
        <f aca="false">LN(C279)</f>
        <v>7.33402251471957</v>
      </c>
      <c r="E279" s="16" t="n">
        <f aca="false">LN(C279)</f>
        <v>7.33402251471957</v>
      </c>
      <c r="F279" s="16" t="n">
        <f aca="false">E279-D278</f>
        <v>0.000836114988385539</v>
      </c>
    </row>
    <row r="280" customFormat="false" ht="15" hidden="false" customHeight="false" outlineLevel="0" collapsed="false">
      <c r="B280" s="18" t="n">
        <f aca="false">B279+7</f>
        <v>43766</v>
      </c>
      <c r="C280" s="70" t="n">
        <v>1513.05</v>
      </c>
      <c r="D280" s="16" t="n">
        <f aca="false">LN(C280)</f>
        <v>7.32188276016895</v>
      </c>
      <c r="E280" s="16" t="n">
        <f aca="false">LN(C280)</f>
        <v>7.32188276016895</v>
      </c>
      <c r="F280" s="16" t="n">
        <f aca="false">E280-D279</f>
        <v>-0.0121397545506108</v>
      </c>
    </row>
    <row r="281" customFormat="false" ht="15" hidden="false" customHeight="false" outlineLevel="0" collapsed="false">
      <c r="B281" s="18" t="n">
        <f aca="false">B280+7</f>
        <v>43773</v>
      </c>
      <c r="C281" s="70" t="n">
        <v>1551.96</v>
      </c>
      <c r="D281" s="16" t="n">
        <f aca="false">LN(C281)</f>
        <v>7.34727392721515</v>
      </c>
      <c r="E281" s="16" t="n">
        <f aca="false">LN(C281)</f>
        <v>7.34727392721515</v>
      </c>
      <c r="F281" s="16" t="n">
        <f aca="false">E281-D280</f>
        <v>0.025391167046199</v>
      </c>
    </row>
    <row r="282" customFormat="false" ht="15" hidden="false" customHeight="false" outlineLevel="0" collapsed="false">
      <c r="B282" s="18" t="n">
        <f aca="false">B281+7</f>
        <v>43780</v>
      </c>
      <c r="C282" s="70" t="n">
        <v>1547.47</v>
      </c>
      <c r="D282" s="16" t="n">
        <f aca="false">LN(C282)</f>
        <v>7.34437661826421</v>
      </c>
      <c r="E282" s="16" t="n">
        <f aca="false">LN(C282)</f>
        <v>7.34437661826421</v>
      </c>
      <c r="F282" s="16" t="n">
        <f aca="false">E282-D281</f>
        <v>-0.00289730895093854</v>
      </c>
    </row>
    <row r="283" customFormat="false" ht="15" hidden="false" customHeight="false" outlineLevel="0" collapsed="false">
      <c r="B283" s="18" t="n">
        <f aca="false">B282+7</f>
        <v>43787</v>
      </c>
      <c r="C283" s="70" t="n">
        <v>1549.7</v>
      </c>
      <c r="D283" s="16" t="n">
        <f aca="false">LN(C283)</f>
        <v>7.34581664279329</v>
      </c>
      <c r="E283" s="16" t="n">
        <f aca="false">LN(C283)</f>
        <v>7.34581664279329</v>
      </c>
      <c r="F283" s="16" t="n">
        <f aca="false">E283-D282</f>
        <v>0.00144002452907444</v>
      </c>
    </row>
    <row r="284" customFormat="false" ht="15" hidden="false" customHeight="false" outlineLevel="0" collapsed="false">
      <c r="B284" s="18" t="n">
        <f aca="false">B283+7</f>
        <v>43794</v>
      </c>
      <c r="C284" s="70" t="n">
        <v>1546.48</v>
      </c>
      <c r="D284" s="16" t="n">
        <f aca="false">LN(C284)</f>
        <v>7.34373665961344</v>
      </c>
      <c r="E284" s="16" t="n">
        <f aca="false">LN(C284)</f>
        <v>7.34373665961344</v>
      </c>
      <c r="F284" s="16" t="n">
        <f aca="false">E284-D283</f>
        <v>-0.00207998317985236</v>
      </c>
    </row>
    <row r="285" customFormat="false" ht="15" hidden="false" customHeight="false" outlineLevel="0" collapsed="false">
      <c r="B285" s="20" t="n">
        <f aca="false">D259</f>
        <v>43801</v>
      </c>
      <c r="C285" s="72" t="n">
        <v>1499.35</v>
      </c>
      <c r="D285" s="13" t="n">
        <f aca="false">LN(C285)</f>
        <v>7.31278695984095</v>
      </c>
      <c r="E285" s="13" t="n">
        <f aca="false">LN(C285)</f>
        <v>7.31278695984095</v>
      </c>
      <c r="F285" s="13" t="n">
        <f aca="false">E285-D284</f>
        <v>-0.0309496997724894</v>
      </c>
    </row>
    <row r="286" customFormat="false" ht="15" hidden="false" customHeight="false" outlineLevel="0" collapsed="false">
      <c r="B286" s="20" t="n">
        <f aca="false">B285+7</f>
        <v>43808</v>
      </c>
      <c r="C286" s="72" t="n">
        <v>1525.19</v>
      </c>
      <c r="D286" s="13" t="n">
        <f aca="false">LN(C286)</f>
        <v>7.32987427144474</v>
      </c>
      <c r="E286" s="13" t="n">
        <f aca="false">LN(C286)</f>
        <v>7.32987427144474</v>
      </c>
      <c r="F286" s="13" t="n">
        <f aca="false">E286-D285</f>
        <v>0.0170873116037891</v>
      </c>
    </row>
    <row r="287" customFormat="false" ht="15" hidden="false" customHeight="false" outlineLevel="0" collapsed="false">
      <c r="B287" s="20" t="n">
        <f aca="false">B286+7</f>
        <v>43815</v>
      </c>
      <c r="C287" s="72" t="n">
        <v>1533.34</v>
      </c>
      <c r="D287" s="13" t="n">
        <f aca="false">LN(C287)</f>
        <v>7.33520364162571</v>
      </c>
      <c r="E287" s="13" t="n">
        <f aca="false">LN(C287)</f>
        <v>7.33520364162571</v>
      </c>
      <c r="F287" s="13" t="n">
        <f aca="false">E287-D286</f>
        <v>0.00532937018097535</v>
      </c>
    </row>
    <row r="288" customFormat="false" ht="15" hidden="false" customHeight="false" outlineLevel="0" collapsed="false">
      <c r="B288" s="20" t="n">
        <f aca="false">B287+7</f>
        <v>43822</v>
      </c>
      <c r="C288" s="72" t="n">
        <v>1531.1</v>
      </c>
      <c r="D288" s="13" t="n">
        <f aca="false">LN(C288)</f>
        <v>7.33374171031105</v>
      </c>
      <c r="E288" s="13" t="n">
        <f aca="false">LN(C288)</f>
        <v>7.33374171031105</v>
      </c>
      <c r="F288" s="13" t="n">
        <f aca="false">E288-D287</f>
        <v>-0.00146193131466177</v>
      </c>
    </row>
    <row r="289" customFormat="false" ht="15" hidden="false" customHeight="false" outlineLevel="0" collapsed="false">
      <c r="B289" s="20" t="n">
        <f aca="false">B288+7</f>
        <v>43829</v>
      </c>
      <c r="C289" s="72" t="n">
        <v>1547.27</v>
      </c>
      <c r="D289" s="13" t="n">
        <f aca="false">LN(C289)</f>
        <v>7.34424736669524</v>
      </c>
      <c r="E289" s="13" t="n">
        <f aca="false">LN(C289)</f>
        <v>7.34424736669524</v>
      </c>
      <c r="F289" s="13" t="n">
        <f aca="false">E289-D288</f>
        <v>0.0105056563841943</v>
      </c>
    </row>
    <row r="290" customFormat="false" ht="15" hidden="false" customHeight="false" outlineLevel="0" collapsed="false">
      <c r="B290" s="20" t="n">
        <f aca="false">B289+7</f>
        <v>43836</v>
      </c>
      <c r="C290" s="72" t="n">
        <v>1555.66</v>
      </c>
      <c r="D290" s="13" t="n">
        <f aca="false">LN(C290)</f>
        <v>7.34965517186434</v>
      </c>
      <c r="E290" s="13" t="n">
        <f aca="false">LN(C290)</f>
        <v>7.34965517186434</v>
      </c>
      <c r="F290" s="13" t="n">
        <f aca="false">E290-D289</f>
        <v>0.005407805169094</v>
      </c>
    </row>
    <row r="291" customFormat="false" ht="15" hidden="false" customHeight="false" outlineLevel="0" collapsed="false">
      <c r="B291" s="20" t="n">
        <f aca="false">B290+7</f>
        <v>43843</v>
      </c>
      <c r="C291" s="72" t="n">
        <v>1564.02</v>
      </c>
      <c r="D291" s="13" t="n">
        <f aca="false">LN(C291)</f>
        <v>7.35501470874728</v>
      </c>
      <c r="E291" s="13" t="n">
        <f aca="false">LN(C291)</f>
        <v>7.35501470874728</v>
      </c>
      <c r="F291" s="13" t="n">
        <f aca="false">E291-D290</f>
        <v>0.00535953688294111</v>
      </c>
    </row>
    <row r="292" customFormat="false" ht="15" hidden="false" customHeight="false" outlineLevel="0" collapsed="false">
      <c r="B292" s="20" t="n">
        <f aca="false">B291+7</f>
        <v>43850</v>
      </c>
      <c r="C292" s="72" t="n">
        <v>1544.66</v>
      </c>
      <c r="D292" s="13" t="n">
        <f aca="false">LN(C292)</f>
        <v>7.34255910038913</v>
      </c>
      <c r="E292" s="13" t="n">
        <f aca="false">LN(C292)</f>
        <v>7.34255910038913</v>
      </c>
      <c r="F292" s="13" t="n">
        <f aca="false">E292-D291</f>
        <v>-0.0124556083581471</v>
      </c>
    </row>
    <row r="293" customFormat="false" ht="15" hidden="false" customHeight="false" outlineLevel="0" collapsed="false">
      <c r="B293" s="20" t="n">
        <f aca="false">B292+7</f>
        <v>43857</v>
      </c>
      <c r="C293" s="72" t="n">
        <v>1475.16</v>
      </c>
      <c r="D293" s="13" t="n">
        <f aca="false">LN(C293)</f>
        <v>7.29652173746725</v>
      </c>
      <c r="E293" s="13" t="n">
        <f aca="false">LN(C293)</f>
        <v>7.29652173746725</v>
      </c>
      <c r="F293" s="13" t="n">
        <f aca="false">E293-D292</f>
        <v>-0.046037362921882</v>
      </c>
    </row>
    <row r="294" customFormat="false" ht="15" hidden="false" customHeight="false" outlineLevel="0" collapsed="false">
      <c r="B294" s="20" t="n">
        <f aca="false">B293+7</f>
        <v>43864</v>
      </c>
      <c r="C294" s="72" t="n">
        <v>1502.87</v>
      </c>
      <c r="D294" s="13" t="n">
        <f aca="false">LN(C294)</f>
        <v>7.31513189233287</v>
      </c>
      <c r="E294" s="13" t="n">
        <f aca="false">LN(C294)</f>
        <v>7.31513189233287</v>
      </c>
      <c r="F294" s="13" t="n">
        <f aca="false">E294-D293</f>
        <v>0.0186101548656223</v>
      </c>
    </row>
    <row r="295" customFormat="false" ht="15" hidden="false" customHeight="false" outlineLevel="0" collapsed="false">
      <c r="B295" s="20" t="n">
        <f aca="false">B294+7</f>
        <v>43871</v>
      </c>
      <c r="C295" s="72" t="n">
        <v>1440.3</v>
      </c>
      <c r="D295" s="13" t="n">
        <f aca="false">LN(C295)</f>
        <v>7.272606704205</v>
      </c>
      <c r="E295" s="13" t="n">
        <f aca="false">LN(C295)</f>
        <v>7.272606704205</v>
      </c>
      <c r="F295" s="13" t="n">
        <f aca="false">E295-D294</f>
        <v>-0.0425251881278683</v>
      </c>
    </row>
    <row r="296" customFormat="false" ht="15" hidden="false" customHeight="false" outlineLevel="0" collapsed="false">
      <c r="B296" s="20" t="n">
        <f aca="false">B295+7</f>
        <v>43878</v>
      </c>
      <c r="C296" s="72" t="n">
        <v>1444.81</v>
      </c>
      <c r="D296" s="13" t="n">
        <f aca="false">LN(C296)</f>
        <v>7.27573310401197</v>
      </c>
      <c r="E296" s="13" t="n">
        <f aca="false">LN(C296)</f>
        <v>7.27573310401197</v>
      </c>
      <c r="F296" s="13" t="n">
        <f aca="false">E296-D295</f>
        <v>0.00312639980696439</v>
      </c>
    </row>
    <row r="297" customFormat="false" ht="15" hidden="false" customHeight="false" outlineLevel="0" collapsed="false">
      <c r="B297" s="20" t="n">
        <f aca="false">B296+7</f>
        <v>43885</v>
      </c>
      <c r="C297" s="72" t="n">
        <v>1351.38</v>
      </c>
      <c r="D297" s="13" t="n">
        <f aca="false">LN(C297)</f>
        <v>7.20888157154134</v>
      </c>
      <c r="E297" s="13" t="n">
        <f aca="false">LN(C297)</f>
        <v>7.20888157154134</v>
      </c>
      <c r="F297" s="13" t="n">
        <f aca="false">E297-D296</f>
        <v>-0.0668515324706265</v>
      </c>
    </row>
    <row r="298" customFormat="false" ht="15" hidden="false" customHeight="false" outlineLevel="0" collapsed="false">
      <c r="B298" s="20" t="n">
        <f aca="false">B297+7</f>
        <v>43892</v>
      </c>
      <c r="C298" s="72" t="n">
        <v>1330.54</v>
      </c>
      <c r="D298" s="13" t="n">
        <f aca="false">LN(C298)</f>
        <v>7.19334015385159</v>
      </c>
      <c r="E298" s="13" t="n">
        <f aca="false">LN(C298)</f>
        <v>7.19334015385159</v>
      </c>
      <c r="F298" s="13" t="n">
        <f aca="false">E298-D297</f>
        <v>-0.015541417689751</v>
      </c>
    </row>
    <row r="299" customFormat="false" ht="15" hidden="false" customHeight="false" outlineLevel="0" collapsed="false">
      <c r="B299" s="20" t="n">
        <f aca="false">B298+7</f>
        <v>43899</v>
      </c>
      <c r="C299" s="72" t="n">
        <v>1187.61</v>
      </c>
      <c r="D299" s="13" t="n">
        <f aca="false">LN(C299)</f>
        <v>7.0796981631977</v>
      </c>
      <c r="E299" s="13" t="n">
        <f aca="false">LN(C299)</f>
        <v>7.0796981631977</v>
      </c>
      <c r="F299" s="13" t="n">
        <f aca="false">E299-D298</f>
        <v>-0.113641990653887</v>
      </c>
    </row>
    <row r="300" customFormat="false" ht="15" hidden="false" customHeight="false" outlineLevel="0" collapsed="false">
      <c r="B300" s="20" t="n">
        <f aca="false">B299+7</f>
        <v>43906</v>
      </c>
      <c r="C300" s="72" t="n">
        <v>1037.71</v>
      </c>
      <c r="D300" s="13" t="n">
        <f aca="false">LN(C300)</f>
        <v>6.94477164126134</v>
      </c>
      <c r="E300" s="13" t="n">
        <f aca="false">LN(C300)</f>
        <v>6.94477164126134</v>
      </c>
      <c r="F300" s="13" t="n">
        <f aca="false">E300-D299</f>
        <v>-0.134926521936364</v>
      </c>
    </row>
    <row r="301" customFormat="false" ht="15" hidden="false" customHeight="false" outlineLevel="0" collapsed="false">
      <c r="B301" s="20" t="n">
        <f aca="false">B300+7</f>
        <v>43913</v>
      </c>
      <c r="C301" s="72" t="n">
        <v>1177.27</v>
      </c>
      <c r="D301" s="13" t="n">
        <f aca="false">LN(C301)</f>
        <v>7.07095347772431</v>
      </c>
      <c r="E301" s="13" t="n">
        <f aca="false">LN(C301)</f>
        <v>7.07095347772431</v>
      </c>
      <c r="F301" s="13" t="n">
        <f aca="false">E301-D300</f>
        <v>0.126181836462973</v>
      </c>
    </row>
    <row r="302" customFormat="false" ht="15" hidden="false" customHeight="false" outlineLevel="0" collapsed="false">
      <c r="B302" s="20" t="n">
        <f aca="false">B301+7</f>
        <v>43920</v>
      </c>
      <c r="C302" s="72" t="n">
        <v>1188.9</v>
      </c>
      <c r="D302" s="13" t="n">
        <f aca="false">LN(C302)</f>
        <v>7.0807837888645</v>
      </c>
      <c r="E302" s="13" t="n">
        <f aca="false">LN(C302)</f>
        <v>7.0807837888645</v>
      </c>
      <c r="F302" s="13" t="n">
        <f aca="false">E302-D301</f>
        <v>0.00983031114018562</v>
      </c>
    </row>
    <row r="303" customFormat="false" ht="15" hidden="false" customHeight="false" outlineLevel="0" collapsed="false">
      <c r="B303" s="20" t="n">
        <f aca="false">B302+7</f>
        <v>43927</v>
      </c>
      <c r="C303" s="72" t="n">
        <v>1222.24</v>
      </c>
      <c r="D303" s="13" t="n">
        <f aca="false">LN(C303)</f>
        <v>7.10844051979305</v>
      </c>
      <c r="E303" s="13" t="n">
        <f aca="false">LN(C303)</f>
        <v>7.10844051979305</v>
      </c>
      <c r="F303" s="13" t="n">
        <f aca="false">E303-D302</f>
        <v>0.02765673092855</v>
      </c>
    </row>
    <row r="304" customFormat="false" ht="15" hidden="false" customHeight="false" outlineLevel="0" collapsed="false">
      <c r="B304" s="20" t="n">
        <f aca="false">B303+7</f>
        <v>43934</v>
      </c>
      <c r="C304" s="72" t="n">
        <v>1294.84</v>
      </c>
      <c r="D304" s="13" t="n">
        <f aca="false">LN(C304)</f>
        <v>7.16614241437689</v>
      </c>
      <c r="E304" s="13" t="n">
        <f aca="false">LN(C304)</f>
        <v>7.16614241437689</v>
      </c>
      <c r="F304" s="13" t="n">
        <f aca="false">E304-D303</f>
        <v>0.0577018945838441</v>
      </c>
    </row>
    <row r="305" customFormat="false" ht="15" hidden="false" customHeight="false" outlineLevel="0" collapsed="false">
      <c r="B305" s="20" t="n">
        <f aca="false">B304+7</f>
        <v>43941</v>
      </c>
      <c r="C305" s="72" t="n">
        <v>1300.57</v>
      </c>
      <c r="D305" s="13" t="n">
        <f aca="false">LN(C305)</f>
        <v>7.17055790889192</v>
      </c>
      <c r="E305" s="13" t="n">
        <f aca="false">LN(C305)</f>
        <v>7.17055790889192</v>
      </c>
      <c r="F305" s="13" t="n">
        <f aca="false">E305-D304</f>
        <v>0.00441549451502432</v>
      </c>
    </row>
    <row r="306" customFormat="false" ht="15" hidden="false" customHeight="false" outlineLevel="0" collapsed="false">
      <c r="B306" s="20" t="n">
        <f aca="false">B305+7</f>
        <v>43948</v>
      </c>
      <c r="C306" s="72" t="n">
        <v>1373.82</v>
      </c>
      <c r="D306" s="13" t="n">
        <f aca="false">LN(C306)</f>
        <v>7.22535045983366</v>
      </c>
      <c r="E306" s="13" t="n">
        <f aca="false">LN(C306)</f>
        <v>7.22535045983366</v>
      </c>
      <c r="F306" s="13" t="n">
        <f aca="false">E306-D305</f>
        <v>0.0547925509417428</v>
      </c>
    </row>
    <row r="307" customFormat="false" ht="15" hidden="false" customHeight="false" outlineLevel="0" collapsed="false">
      <c r="B307" s="20" t="n">
        <f aca="false">B306+7</f>
        <v>43955</v>
      </c>
      <c r="C307" s="72" t="n">
        <v>1322.68</v>
      </c>
      <c r="D307" s="13" t="n">
        <f aca="false">LN(C307)</f>
        <v>7.18741526033101</v>
      </c>
      <c r="E307" s="13" t="n">
        <f aca="false">LN(C307)</f>
        <v>7.18741526033101</v>
      </c>
      <c r="F307" s="13" t="n">
        <f aca="false">E307-D306</f>
        <v>-0.0379351995026553</v>
      </c>
    </row>
    <row r="308" customFormat="false" ht="15" hidden="false" customHeight="false" outlineLevel="0" collapsed="false">
      <c r="B308" s="20" t="n">
        <f aca="false">B307+7</f>
        <v>43962</v>
      </c>
      <c r="C308" s="72" t="n">
        <v>1314.04</v>
      </c>
      <c r="D308" s="13" t="n">
        <f aca="false">LN(C308)</f>
        <v>7.18086163998153</v>
      </c>
      <c r="E308" s="13" t="n">
        <f aca="false">LN(C308)</f>
        <v>7.18086163998153</v>
      </c>
      <c r="F308" s="13" t="n">
        <f aca="false">E308-D307</f>
        <v>-0.00655362034947515</v>
      </c>
    </row>
    <row r="309" customFormat="false" ht="15" hidden="false" customHeight="false" outlineLevel="0" collapsed="false">
      <c r="B309" s="20" t="n">
        <f aca="false">B308+7</f>
        <v>43969</v>
      </c>
      <c r="C309" s="72" t="n">
        <v>1322.13</v>
      </c>
      <c r="D309" s="13" t="n">
        <f aca="false">LN(C309)</f>
        <v>7.18699935143174</v>
      </c>
      <c r="E309" s="13" t="n">
        <f aca="false">LN(C309)</f>
        <v>7.18699935143174</v>
      </c>
      <c r="F309" s="13" t="n">
        <f aca="false">E309-D308</f>
        <v>0.00613771145021413</v>
      </c>
    </row>
    <row r="310" customFormat="false" ht="15" hidden="false" customHeight="false" outlineLevel="0" collapsed="false">
      <c r="B310" s="20" t="n">
        <f aca="false">B309+7</f>
        <v>43976</v>
      </c>
      <c r="C310" s="72" t="n">
        <v>1362.44</v>
      </c>
      <c r="D310" s="13"/>
      <c r="E310" s="13" t="n">
        <f aca="false">LN(C310)</f>
        <v>7.21703248887051</v>
      </c>
      <c r="F310" s="13" t="n">
        <f aca="false">E310-D309</f>
        <v>0.030033137438763</v>
      </c>
    </row>
    <row r="317" customFormat="false" ht="15" hidden="false" customHeight="false" outlineLevel="0" collapsed="false">
      <c r="B317" s="2" t="s">
        <v>24</v>
      </c>
      <c r="C317" s="2"/>
      <c r="D317" s="2"/>
      <c r="E317" s="2"/>
      <c r="F317" s="67"/>
    </row>
    <row r="318" customFormat="false" ht="15" hidden="false" customHeight="false" outlineLevel="0" collapsed="false">
      <c r="B318" s="4" t="s">
        <v>3</v>
      </c>
      <c r="C318" s="4"/>
      <c r="D318" s="4"/>
      <c r="F318" s="67"/>
    </row>
    <row r="319" customFormat="false" ht="15" hidden="false" customHeight="false" outlineLevel="0" collapsed="false">
      <c r="B319" s="6" t="s">
        <v>4</v>
      </c>
      <c r="C319" s="7" t="s">
        <v>27</v>
      </c>
      <c r="D319" s="7"/>
    </row>
    <row r="320" customFormat="false" ht="15" hidden="false" customHeight="false" outlineLevel="0" collapsed="false">
      <c r="B320" s="6" t="s">
        <v>8</v>
      </c>
      <c r="C320" s="7" t="s">
        <v>9</v>
      </c>
      <c r="D320" s="7"/>
    </row>
    <row r="321" customFormat="false" ht="15" hidden="false" customHeight="false" outlineLevel="0" collapsed="false">
      <c r="B321" s="6" t="s">
        <v>10</v>
      </c>
      <c r="C321" s="6" t="s">
        <v>11</v>
      </c>
      <c r="D321" s="6" t="s">
        <v>12</v>
      </c>
    </row>
    <row r="322" customFormat="false" ht="15" hidden="false" customHeight="false" outlineLevel="0" collapsed="false">
      <c r="B322" s="6" t="s">
        <v>13</v>
      </c>
      <c r="C322" s="8" t="n">
        <f aca="false">DATE(2019,7,1)</f>
        <v>43647</v>
      </c>
      <c r="D322" s="8" t="n">
        <f aca="false">DATE(2019,12,2)</f>
        <v>43801</v>
      </c>
    </row>
    <row r="323" customFormat="false" ht="15" hidden="false" customHeight="false" outlineLevel="0" collapsed="false">
      <c r="B323" s="6" t="s">
        <v>14</v>
      </c>
      <c r="C323" s="8" t="n">
        <f aca="false">DATE(2019,11,25)</f>
        <v>43794</v>
      </c>
      <c r="D323" s="8" t="n">
        <f aca="false">DATE(2020,4,27)</f>
        <v>43948</v>
      </c>
    </row>
    <row r="324" customFormat="false" ht="15" hidden="false" customHeight="false" outlineLevel="0" collapsed="false">
      <c r="B324" s="6" t="s">
        <v>15</v>
      </c>
      <c r="C324" s="10" t="s">
        <v>30</v>
      </c>
      <c r="D324" s="75"/>
    </row>
    <row r="325" customFormat="false" ht="15" hidden="false" customHeight="false" outlineLevel="0" collapsed="false">
      <c r="B325" s="16" t="s">
        <v>21</v>
      </c>
      <c r="C325" s="69" t="s">
        <v>22</v>
      </c>
      <c r="D325" s="16" t="s">
        <v>76</v>
      </c>
      <c r="E325" s="16" t="s">
        <v>77</v>
      </c>
      <c r="F325" s="16" t="s">
        <v>75</v>
      </c>
    </row>
    <row r="326" customFormat="false" ht="15" hidden="false" customHeight="false" outlineLevel="0" collapsed="false">
      <c r="B326" s="18" t="n">
        <f aca="false">C322</f>
        <v>43647</v>
      </c>
      <c r="C326" s="70" t="n">
        <v>7797.21</v>
      </c>
      <c r="D326" s="16" t="n">
        <f aca="false">LN(C326)</f>
        <v>8.96152125638284</v>
      </c>
      <c r="E326" s="16"/>
      <c r="F326" s="16"/>
    </row>
    <row r="327" customFormat="false" ht="15" hidden="false" customHeight="false" outlineLevel="0" collapsed="false">
      <c r="B327" s="18" t="n">
        <f aca="false">B326+7</f>
        <v>43654</v>
      </c>
      <c r="C327" s="70" t="n">
        <v>7758.23</v>
      </c>
      <c r="D327" s="16" t="n">
        <f aca="false">LN(C327)</f>
        <v>8.95650949437664</v>
      </c>
      <c r="E327" s="16" t="n">
        <f aca="false">LN(C327)</f>
        <v>8.95650949437664</v>
      </c>
      <c r="F327" s="16" t="n">
        <f aca="false">E327-D326</f>
        <v>-0.00501176200619469</v>
      </c>
    </row>
    <row r="328" customFormat="false" ht="15" hidden="false" customHeight="false" outlineLevel="0" collapsed="false">
      <c r="B328" s="18" t="n">
        <f aca="false">B327+7</f>
        <v>43661</v>
      </c>
      <c r="C328" s="70" t="n">
        <v>7942.9199</v>
      </c>
      <c r="D328" s="16" t="n">
        <f aca="false">LN(C328)</f>
        <v>8.98003623223128</v>
      </c>
      <c r="E328" s="16" t="n">
        <f aca="false">LN(C328)</f>
        <v>8.98003623223128</v>
      </c>
      <c r="F328" s="16" t="n">
        <f aca="false">E328-D327</f>
        <v>0.02352673785464</v>
      </c>
    </row>
    <row r="329" customFormat="false" ht="15" hidden="false" customHeight="false" outlineLevel="0" collapsed="false">
      <c r="B329" s="18" t="n">
        <f aca="false">B328+7</f>
        <v>43668</v>
      </c>
      <c r="C329" s="70" t="n">
        <v>7999.1201</v>
      </c>
      <c r="D329" s="16" t="n">
        <f aca="false">LN(C329)</f>
        <v>8.9870868271129</v>
      </c>
      <c r="E329" s="16" t="n">
        <f aca="false">LN(C329)</f>
        <v>8.9870868271129</v>
      </c>
      <c r="F329" s="16" t="n">
        <f aca="false">E329-D328</f>
        <v>0.00705059488162085</v>
      </c>
    </row>
    <row r="330" customFormat="false" ht="15" hidden="false" customHeight="false" outlineLevel="0" collapsed="false">
      <c r="B330" s="18" t="n">
        <f aca="false">B329+7</f>
        <v>43675</v>
      </c>
      <c r="C330" s="70" t="n">
        <v>7901.6299</v>
      </c>
      <c r="D330" s="16" t="n">
        <f aca="false">LN(C330)</f>
        <v>8.9748243336305</v>
      </c>
      <c r="E330" s="16" t="n">
        <f aca="false">LN(C330)</f>
        <v>8.9748243336305</v>
      </c>
      <c r="F330" s="16" t="n">
        <f aca="false">E330-D329</f>
        <v>-0.0122624934824085</v>
      </c>
    </row>
    <row r="331" customFormat="false" ht="15" hidden="false" customHeight="false" outlineLevel="0" collapsed="false">
      <c r="B331" s="18" t="n">
        <f aca="false">B330+7</f>
        <v>43682</v>
      </c>
      <c r="C331" s="70" t="n">
        <v>7630.4199</v>
      </c>
      <c r="D331" s="16" t="n">
        <f aca="false">LN(C331)</f>
        <v>8.93989815552966</v>
      </c>
      <c r="E331" s="16" t="n">
        <f aca="false">LN(C331)</f>
        <v>8.93989815552966</v>
      </c>
      <c r="F331" s="16" t="n">
        <f aca="false">E331-D330</f>
        <v>-0.0349261781008394</v>
      </c>
    </row>
    <row r="332" customFormat="false" ht="15" hidden="false" customHeight="false" outlineLevel="0" collapsed="false">
      <c r="B332" s="18" t="n">
        <f aca="false">B331+7</f>
        <v>43689</v>
      </c>
      <c r="C332" s="70" t="n">
        <v>7727</v>
      </c>
      <c r="D332" s="16" t="n">
        <f aca="false">LN(C332)</f>
        <v>8.95247596793358</v>
      </c>
      <c r="E332" s="16" t="n">
        <f aca="false">LN(C332)</f>
        <v>8.95247596793358</v>
      </c>
      <c r="F332" s="16" t="n">
        <f aca="false">E332-D331</f>
        <v>0.0125778124039275</v>
      </c>
    </row>
    <row r="333" customFormat="false" ht="15" hidden="false" customHeight="false" outlineLevel="0" collapsed="false">
      <c r="B333" s="18" t="n">
        <f aca="false">B332+7</f>
        <v>43696</v>
      </c>
      <c r="C333" s="70" t="n">
        <v>7772.54</v>
      </c>
      <c r="D333" s="16" t="n">
        <f aca="false">LN(C333)</f>
        <v>8.95835228826898</v>
      </c>
      <c r="E333" s="16" t="n">
        <f aca="false">LN(C333)</f>
        <v>8.95835228826898</v>
      </c>
      <c r="F333" s="16" t="n">
        <f aca="false">E333-D332</f>
        <v>0.00587632033539087</v>
      </c>
    </row>
    <row r="334" customFormat="false" ht="15" hidden="false" customHeight="false" outlineLevel="0" collapsed="false">
      <c r="B334" s="18" t="n">
        <f aca="false">B333+7</f>
        <v>43703</v>
      </c>
      <c r="C334" s="70" t="n">
        <v>7922.8599</v>
      </c>
      <c r="D334" s="16" t="n">
        <f aca="false">LN(C334)</f>
        <v>8.97750751811295</v>
      </c>
      <c r="E334" s="16" t="n">
        <f aca="false">LN(C334)</f>
        <v>8.97750751811295</v>
      </c>
      <c r="F334" s="16" t="n">
        <f aca="false">E334-D333</f>
        <v>0.0191552298439781</v>
      </c>
    </row>
    <row r="335" customFormat="false" ht="15" hidden="false" customHeight="false" outlineLevel="0" collapsed="false">
      <c r="B335" s="18" t="n">
        <f aca="false">B334+7</f>
        <v>43710</v>
      </c>
      <c r="C335" s="70" t="n">
        <v>7908.1401</v>
      </c>
      <c r="D335" s="16" t="n">
        <f aca="false">LN(C335)</f>
        <v>8.9756479003703</v>
      </c>
      <c r="E335" s="16" t="n">
        <f aca="false">LN(C335)</f>
        <v>8.9756479003703</v>
      </c>
      <c r="F335" s="16" t="n">
        <f aca="false">E335-D334</f>
        <v>-0.00185961774265309</v>
      </c>
    </row>
    <row r="336" customFormat="false" ht="15" hidden="false" customHeight="false" outlineLevel="0" collapsed="false">
      <c r="B336" s="18" t="n">
        <f aca="false">B335+7</f>
        <v>43717</v>
      </c>
      <c r="C336" s="70" t="n">
        <v>7918.5898</v>
      </c>
      <c r="D336" s="16" t="n">
        <f aca="false">LN(C336)</f>
        <v>8.97696841339914</v>
      </c>
      <c r="E336" s="16" t="n">
        <f aca="false">LN(C336)</f>
        <v>8.97696841339914</v>
      </c>
      <c r="F336" s="16" t="n">
        <f aca="false">E336-D335</f>
        <v>0.00132051302884406</v>
      </c>
    </row>
    <row r="337" customFormat="false" ht="15" hidden="false" customHeight="false" outlineLevel="0" collapsed="false">
      <c r="B337" s="18" t="n">
        <f aca="false">B336+7</f>
        <v>43724</v>
      </c>
      <c r="C337" s="70" t="n">
        <v>7849.1001</v>
      </c>
      <c r="D337" s="16" t="n">
        <f aca="false">LN(C337)</f>
        <v>8.96815416726246</v>
      </c>
      <c r="E337" s="16" t="n">
        <f aca="false">LN(C337)</f>
        <v>8.96815416726246</v>
      </c>
      <c r="F337" s="16" t="n">
        <f aca="false">E337-D336</f>
        <v>-0.0088142461366818</v>
      </c>
    </row>
    <row r="338" customFormat="false" ht="15" hidden="false" customHeight="false" outlineLevel="0" collapsed="false">
      <c r="B338" s="18" t="n">
        <f aca="false">B337+7</f>
        <v>43731</v>
      </c>
      <c r="C338" s="70" t="n">
        <v>7723.4399</v>
      </c>
      <c r="D338" s="16" t="n">
        <f aca="false">LN(C338)</f>
        <v>8.9520151266778</v>
      </c>
      <c r="E338" s="16" t="n">
        <f aca="false">LN(C338)</f>
        <v>8.9520151266778</v>
      </c>
      <c r="F338" s="16" t="n">
        <f aca="false">E338-D337</f>
        <v>-0.0161390405846671</v>
      </c>
    </row>
    <row r="339" customFormat="false" ht="15" hidden="false" customHeight="false" outlineLevel="0" collapsed="false">
      <c r="B339" s="18" t="n">
        <f aca="false">B338+7</f>
        <v>43738</v>
      </c>
      <c r="C339" s="70" t="n">
        <v>7551.5801</v>
      </c>
      <c r="D339" s="16" t="n">
        <f aca="false">LN(C339)</f>
        <v>8.92951210511428</v>
      </c>
      <c r="E339" s="16" t="n">
        <f aca="false">LN(C339)</f>
        <v>8.92951210511428</v>
      </c>
      <c r="F339" s="16" t="n">
        <f aca="false">E339-D338</f>
        <v>-0.022503021563514</v>
      </c>
    </row>
    <row r="340" customFormat="false" ht="15" hidden="false" customHeight="false" outlineLevel="0" collapsed="false">
      <c r="B340" s="18" t="n">
        <f aca="false">B339+7</f>
        <v>43745</v>
      </c>
      <c r="C340" s="70" t="n">
        <v>7670.3799</v>
      </c>
      <c r="D340" s="16" t="n">
        <f aca="false">LN(C340)</f>
        <v>8.94512142377355</v>
      </c>
      <c r="E340" s="16" t="n">
        <f aca="false">LN(C340)</f>
        <v>8.94512142377355</v>
      </c>
      <c r="F340" s="16" t="n">
        <f aca="false">E340-D339</f>
        <v>0.0156093186592727</v>
      </c>
    </row>
    <row r="341" customFormat="false" ht="15" hidden="false" customHeight="false" outlineLevel="0" collapsed="false">
      <c r="B341" s="18" t="n">
        <f aca="false">B340+7</f>
        <v>43752</v>
      </c>
      <c r="C341" s="70" t="n">
        <v>7676.8901</v>
      </c>
      <c r="D341" s="16" t="n">
        <f aca="false">LN(C341)</f>
        <v>8.94596980923761</v>
      </c>
      <c r="E341" s="16" t="n">
        <f aca="false">LN(C341)</f>
        <v>8.94596980923761</v>
      </c>
      <c r="F341" s="16" t="n">
        <f aca="false">E341-D340</f>
        <v>0.000848385464056634</v>
      </c>
    </row>
    <row r="342" customFormat="false" ht="15" hidden="false" customHeight="false" outlineLevel="0" collapsed="false">
      <c r="B342" s="18" t="n">
        <f aca="false">B341+7</f>
        <v>43759</v>
      </c>
      <c r="C342" s="70" t="n">
        <v>7745.04</v>
      </c>
      <c r="D342" s="16" t="n">
        <f aca="false">LN(C342)</f>
        <v>8.95480791745997</v>
      </c>
      <c r="E342" s="16" t="n">
        <f aca="false">LN(C342)</f>
        <v>8.95480791745997</v>
      </c>
      <c r="F342" s="16" t="n">
        <f aca="false">E342-D341</f>
        <v>0.00883810822235986</v>
      </c>
    </row>
    <row r="343" customFormat="false" ht="15" hidden="false" customHeight="false" outlineLevel="0" collapsed="false">
      <c r="B343" s="18" t="n">
        <f aca="false">B342+7</f>
        <v>43766</v>
      </c>
      <c r="C343" s="70" t="n">
        <v>7830.2998</v>
      </c>
      <c r="D343" s="16" t="n">
        <f aca="false">LN(C343)</f>
        <v>8.96575607688532</v>
      </c>
      <c r="E343" s="16" t="n">
        <f aca="false">LN(C343)</f>
        <v>8.96575607688532</v>
      </c>
      <c r="F343" s="16" t="n">
        <f aca="false">E343-D342</f>
        <v>0.0109481594253484</v>
      </c>
    </row>
    <row r="344" customFormat="false" ht="15" hidden="false" customHeight="false" outlineLevel="0" collapsed="false">
      <c r="B344" s="18" t="n">
        <f aca="false">B343+7</f>
        <v>43773</v>
      </c>
      <c r="C344" s="70" t="n">
        <v>7933.3198</v>
      </c>
      <c r="D344" s="16" t="n">
        <f aca="false">LN(C344)</f>
        <v>8.97882686510765</v>
      </c>
      <c r="E344" s="16" t="n">
        <f aca="false">LN(C344)</f>
        <v>8.97882686510765</v>
      </c>
      <c r="F344" s="16" t="n">
        <f aca="false">E344-D343</f>
        <v>0.0130707882223309</v>
      </c>
    </row>
    <row r="345" customFormat="false" ht="15" hidden="false" customHeight="false" outlineLevel="0" collapsed="false">
      <c r="B345" s="18" t="n">
        <f aca="false">B344+7</f>
        <v>43780</v>
      </c>
      <c r="C345" s="70" t="n">
        <v>7810.4199</v>
      </c>
      <c r="D345" s="16" t="n">
        <f aca="false">LN(C345)</f>
        <v>8.96321400579309</v>
      </c>
      <c r="E345" s="16" t="n">
        <f aca="false">LN(C345)</f>
        <v>8.96321400579309</v>
      </c>
      <c r="F345" s="16" t="n">
        <f aca="false">E345-D344</f>
        <v>-0.0156128593145617</v>
      </c>
    </row>
    <row r="346" customFormat="false" ht="15" hidden="false" customHeight="false" outlineLevel="0" collapsed="false">
      <c r="B346" s="18" t="n">
        <f aca="false">B345+7</f>
        <v>43787</v>
      </c>
      <c r="C346" s="70" t="n">
        <v>7756.9302</v>
      </c>
      <c r="D346" s="16" t="n">
        <f aca="false">LN(C346)</f>
        <v>8.95634194212629</v>
      </c>
      <c r="E346" s="16" t="n">
        <f aca="false">LN(C346)</f>
        <v>8.95634194212629</v>
      </c>
      <c r="F346" s="16" t="n">
        <f aca="false">E346-D345</f>
        <v>-0.00687206366679583</v>
      </c>
    </row>
    <row r="347" customFormat="false" ht="15" hidden="false" customHeight="false" outlineLevel="0" collapsed="false">
      <c r="B347" s="18" t="n">
        <f aca="false">B346+7</f>
        <v>43794</v>
      </c>
      <c r="C347" s="70" t="n">
        <v>7630.4302</v>
      </c>
      <c r="D347" s="16" t="n">
        <f aca="false">LN(C347)</f>
        <v>8.93989950538893</v>
      </c>
      <c r="E347" s="16" t="n">
        <f aca="false">LN(C347)</f>
        <v>8.93989950538893</v>
      </c>
      <c r="F347" s="16" t="n">
        <f aca="false">E347-D346</f>
        <v>-0.0164424367373641</v>
      </c>
    </row>
    <row r="348" customFormat="false" ht="15" hidden="false" customHeight="false" outlineLevel="0" collapsed="false">
      <c r="B348" s="20" t="n">
        <f aca="false">D322</f>
        <v>43801</v>
      </c>
      <c r="C348" s="72" t="n">
        <v>7750.8198</v>
      </c>
      <c r="D348" s="13" t="n">
        <f aca="false">LN(C348)</f>
        <v>8.95555389739818</v>
      </c>
      <c r="E348" s="13" t="n">
        <f aca="false">LN(C348)</f>
        <v>8.95555389739818</v>
      </c>
      <c r="F348" s="13" t="n">
        <f aca="false">E348-D347</f>
        <v>0.0156543920092478</v>
      </c>
    </row>
    <row r="349" customFormat="false" ht="15" hidden="false" customHeight="false" outlineLevel="0" collapsed="false">
      <c r="B349" s="20" t="n">
        <f aca="false">B348+7</f>
        <v>43808</v>
      </c>
      <c r="C349" s="72" t="n">
        <v>7633.3101</v>
      </c>
      <c r="D349" s="13" t="n">
        <f aca="false">LN(C349)</f>
        <v>8.94027685720147</v>
      </c>
      <c r="E349" s="13" t="n">
        <f aca="false">LN(C349)</f>
        <v>8.94027685720147</v>
      </c>
      <c r="F349" s="13" t="n">
        <f aca="false">E349-D348</f>
        <v>-0.0152770401967075</v>
      </c>
    </row>
    <row r="350" customFormat="false" ht="15" hidden="false" customHeight="false" outlineLevel="0" collapsed="false">
      <c r="B350" s="20" t="n">
        <f aca="false">B349+7</f>
        <v>43815</v>
      </c>
      <c r="C350" s="72" t="n">
        <v>7599.6499</v>
      </c>
      <c r="D350" s="13" t="n">
        <f aca="false">LN(C350)</f>
        <v>8.93585745942389</v>
      </c>
      <c r="E350" s="13" t="n">
        <f aca="false">LN(C350)</f>
        <v>8.93585745942389</v>
      </c>
      <c r="F350" s="13" t="n">
        <f aca="false">E350-D349</f>
        <v>-0.00441939777758016</v>
      </c>
    </row>
    <row r="351" customFormat="false" ht="15" hidden="false" customHeight="false" outlineLevel="0" collapsed="false">
      <c r="B351" s="20" t="n">
        <f aca="false">B350+7</f>
        <v>43822</v>
      </c>
      <c r="C351" s="72" t="n">
        <v>7592.0698</v>
      </c>
      <c r="D351" s="13" t="n">
        <f aca="false">LN(C351)</f>
        <v>8.9348595341358</v>
      </c>
      <c r="E351" s="13" t="n">
        <f aca="false">LN(C351)</f>
        <v>8.9348595341358</v>
      </c>
      <c r="F351" s="13" t="n">
        <f aca="false">E351-D350</f>
        <v>-0.000997925288084289</v>
      </c>
    </row>
    <row r="352" customFormat="false" ht="15" hidden="false" customHeight="false" outlineLevel="0" collapsed="false">
      <c r="B352" s="20" t="n">
        <f aca="false">B351+7</f>
        <v>43829</v>
      </c>
      <c r="C352" s="72" t="n">
        <v>7631.7202</v>
      </c>
      <c r="D352" s="13" t="n">
        <f aca="false">LN(C352)</f>
        <v>8.9400685510305</v>
      </c>
      <c r="E352" s="13" t="n">
        <f aca="false">LN(C352)</f>
        <v>8.9400685510305</v>
      </c>
      <c r="F352" s="13" t="n">
        <f aca="false">E352-D351</f>
        <v>0.00520901689469611</v>
      </c>
    </row>
    <row r="353" customFormat="false" ht="15" hidden="false" customHeight="false" outlineLevel="0" collapsed="false">
      <c r="B353" s="20" t="n">
        <f aca="false">B352+7</f>
        <v>43836</v>
      </c>
      <c r="C353" s="72" t="n">
        <v>7635.4502</v>
      </c>
      <c r="D353" s="13" t="n">
        <f aca="false">LN(C353)</f>
        <v>8.94055718120577</v>
      </c>
      <c r="E353" s="13" t="n">
        <f aca="false">LN(C353)</f>
        <v>8.94055718120577</v>
      </c>
      <c r="F353" s="13" t="n">
        <f aca="false">E353-D352</f>
        <v>0.000488630175269122</v>
      </c>
    </row>
    <row r="354" customFormat="false" ht="15" hidden="false" customHeight="false" outlineLevel="0" collapsed="false">
      <c r="B354" s="20" t="n">
        <f aca="false">B353+7</f>
        <v>43843</v>
      </c>
      <c r="C354" s="72" t="n">
        <v>7475.5898</v>
      </c>
      <c r="D354" s="13" t="n">
        <f aca="false">LN(C354)</f>
        <v>8.91939829815624</v>
      </c>
      <c r="E354" s="13" t="n">
        <f aca="false">LN(C354)</f>
        <v>8.91939829815624</v>
      </c>
      <c r="F354" s="13" t="n">
        <f aca="false">E354-D353</f>
        <v>-0.0211588830495266</v>
      </c>
    </row>
    <row r="355" customFormat="false" ht="15" hidden="false" customHeight="false" outlineLevel="0" collapsed="false">
      <c r="B355" s="20" t="n">
        <f aca="false">B354+7</f>
        <v>43850</v>
      </c>
      <c r="C355" s="72" t="n">
        <v>7348.3599</v>
      </c>
      <c r="D355" s="13" t="n">
        <f aca="false">LN(C355)</f>
        <v>8.90223242444967</v>
      </c>
      <c r="E355" s="13" t="n">
        <f aca="false">LN(C355)</f>
        <v>8.90223242444967</v>
      </c>
      <c r="F355" s="13" t="n">
        <f aca="false">E355-D354</f>
        <v>-0.0171658737065741</v>
      </c>
    </row>
    <row r="356" customFormat="false" ht="15" hidden="false" customHeight="false" outlineLevel="0" collapsed="false">
      <c r="B356" s="20" t="n">
        <f aca="false">B355+7</f>
        <v>43857</v>
      </c>
      <c r="C356" s="72" t="n">
        <v>6900.3101</v>
      </c>
      <c r="D356" s="13" t="n">
        <f aca="false">LN(C356)</f>
        <v>8.83932163160447</v>
      </c>
      <c r="E356" s="13" t="n">
        <f aca="false">LN(C356)</f>
        <v>8.83932163160447</v>
      </c>
      <c r="F356" s="13" t="n">
        <f aca="false">E356-D355</f>
        <v>-0.0629107928451944</v>
      </c>
    </row>
    <row r="357" customFormat="false" ht="15" hidden="false" customHeight="false" outlineLevel="0" collapsed="false">
      <c r="B357" s="20" t="n">
        <f aca="false">B356+7</f>
        <v>43864</v>
      </c>
      <c r="C357" s="72" t="n">
        <v>7146.0098</v>
      </c>
      <c r="D357" s="13" t="n">
        <f aca="false">LN(C357)</f>
        <v>8.874309409979</v>
      </c>
      <c r="E357" s="13" t="n">
        <f aca="false">LN(C357)</f>
        <v>8.874309409979</v>
      </c>
      <c r="F357" s="13" t="n">
        <f aca="false">E357-D356</f>
        <v>0.0349877783745267</v>
      </c>
    </row>
    <row r="358" customFormat="false" ht="15" hidden="false" customHeight="false" outlineLevel="0" collapsed="false">
      <c r="B358" s="20" t="n">
        <f aca="false">B357+7</f>
        <v>43871</v>
      </c>
      <c r="C358" s="72" t="n">
        <v>7051.9702</v>
      </c>
      <c r="D358" s="13" t="n">
        <f aca="false">LN(C358)</f>
        <v>8.86106231775727</v>
      </c>
      <c r="E358" s="13" t="n">
        <f aca="false">LN(C358)</f>
        <v>8.86106231775727</v>
      </c>
      <c r="F358" s="13" t="n">
        <f aca="false">E358-D357</f>
        <v>-0.0132470922217287</v>
      </c>
    </row>
    <row r="359" customFormat="false" ht="15" hidden="false" customHeight="false" outlineLevel="0" collapsed="false">
      <c r="B359" s="20" t="n">
        <f aca="false">B358+7</f>
        <v>43878</v>
      </c>
      <c r="C359" s="72" t="n">
        <v>7218.98</v>
      </c>
      <c r="D359" s="13" t="n">
        <f aca="false">LN(C359)</f>
        <v>8.8844689476685</v>
      </c>
      <c r="E359" s="13" t="n">
        <f aca="false">LN(C359)</f>
        <v>8.8844689476685</v>
      </c>
      <c r="F359" s="13" t="n">
        <f aca="false">E359-D358</f>
        <v>0.0234066299112286</v>
      </c>
    </row>
    <row r="360" customFormat="false" ht="15" hidden="false" customHeight="false" outlineLevel="0" collapsed="false">
      <c r="B360" s="20" t="n">
        <f aca="false">B359+7</f>
        <v>43885</v>
      </c>
      <c r="C360" s="72" t="n">
        <v>6627.0801</v>
      </c>
      <c r="D360" s="13" t="n">
        <f aca="false">LN(C360)</f>
        <v>8.79891957893234</v>
      </c>
      <c r="E360" s="13" t="n">
        <f aca="false">LN(C360)</f>
        <v>8.79891957893234</v>
      </c>
      <c r="F360" s="13" t="n">
        <f aca="false">E360-D359</f>
        <v>-0.0855493687361619</v>
      </c>
    </row>
    <row r="361" customFormat="false" ht="15" hidden="false" customHeight="false" outlineLevel="0" collapsed="false">
      <c r="B361" s="20" t="n">
        <f aca="false">B360+7</f>
        <v>43892</v>
      </c>
      <c r="C361" s="72" t="n">
        <v>6612.2598</v>
      </c>
      <c r="D361" s="13" t="n">
        <f aca="false">LN(C361)</f>
        <v>8.796680750365</v>
      </c>
      <c r="E361" s="13" t="n">
        <f aca="false">LN(C361)</f>
        <v>8.796680750365</v>
      </c>
      <c r="F361" s="13" t="n">
        <f aca="false">E361-D360</f>
        <v>-0.00223882856733404</v>
      </c>
    </row>
    <row r="362" customFormat="false" ht="15" hidden="false" customHeight="false" outlineLevel="0" collapsed="false">
      <c r="B362" s="20" t="n">
        <f aca="false">B361+7</f>
        <v>43899</v>
      </c>
      <c r="C362" s="72" t="n">
        <v>5673.6499</v>
      </c>
      <c r="D362" s="13" t="n">
        <f aca="false">LN(C362)</f>
        <v>8.64358791096248</v>
      </c>
      <c r="E362" s="13" t="n">
        <f aca="false">LN(C362)</f>
        <v>8.64358791096248</v>
      </c>
      <c r="F362" s="13" t="n">
        <f aca="false">E362-D361</f>
        <v>-0.153092839402529</v>
      </c>
    </row>
    <row r="363" customFormat="false" ht="15" hidden="false" customHeight="false" outlineLevel="0" collapsed="false">
      <c r="B363" s="20" t="n">
        <f aca="false">B362+7</f>
        <v>43906</v>
      </c>
      <c r="C363" s="72" t="n">
        <v>4602.0601</v>
      </c>
      <c r="D363" s="13" t="n">
        <f aca="false">LN(C363)</f>
        <v>8.43425933004937</v>
      </c>
      <c r="E363" s="13" t="n">
        <f aca="false">LN(C363)</f>
        <v>8.43425933004937</v>
      </c>
      <c r="F363" s="13" t="n">
        <f aca="false">E363-D362</f>
        <v>-0.209328580913109</v>
      </c>
    </row>
    <row r="364" customFormat="false" ht="15" hidden="false" customHeight="false" outlineLevel="0" collapsed="false">
      <c r="B364" s="20" t="n">
        <f aca="false">B363+7</f>
        <v>43913</v>
      </c>
      <c r="C364" s="72" t="n">
        <v>5142.1099</v>
      </c>
      <c r="D364" s="13" t="n">
        <f aca="false">LN(C364)</f>
        <v>8.54521876060405</v>
      </c>
      <c r="E364" s="13" t="n">
        <f aca="false">LN(C364)</f>
        <v>8.54521876060405</v>
      </c>
      <c r="F364" s="13" t="n">
        <f aca="false">E364-D363</f>
        <v>0.110959430554681</v>
      </c>
    </row>
    <row r="365" customFormat="false" ht="15" hidden="false" customHeight="false" outlineLevel="0" collapsed="false">
      <c r="B365" s="20" t="n">
        <f aca="false">B364+7</f>
        <v>43920</v>
      </c>
      <c r="C365" s="72" t="n">
        <v>5265.52</v>
      </c>
      <c r="D365" s="13" t="n">
        <f aca="false">LN(C365)</f>
        <v>8.56893518512319</v>
      </c>
      <c r="E365" s="13" t="n">
        <f aca="false">LN(C365)</f>
        <v>8.56893518512319</v>
      </c>
      <c r="F365" s="13" t="n">
        <f aca="false">E365-D364</f>
        <v>0.0237164245191437</v>
      </c>
    </row>
    <row r="366" customFormat="false" ht="15" hidden="false" customHeight="false" outlineLevel="0" collapsed="false">
      <c r="B366" s="20" t="n">
        <f aca="false">B365+7</f>
        <v>43927</v>
      </c>
      <c r="C366" s="72" t="n">
        <v>5510.79</v>
      </c>
      <c r="D366" s="13" t="n">
        <f aca="false">LN(C366)</f>
        <v>8.61446326755023</v>
      </c>
      <c r="E366" s="13" t="n">
        <f aca="false">LN(C366)</f>
        <v>8.61446326755023</v>
      </c>
      <c r="F366" s="13" t="n">
        <f aca="false">E366-D365</f>
        <v>0.0455280824270385</v>
      </c>
    </row>
    <row r="367" customFormat="false" ht="15" hidden="false" customHeight="false" outlineLevel="0" collapsed="false">
      <c r="B367" s="20" t="n">
        <f aca="false">B366+7</f>
        <v>43934</v>
      </c>
      <c r="C367" s="72" t="n">
        <v>5731.7202</v>
      </c>
      <c r="D367" s="13" t="n">
        <f aca="false">LN(C367)</f>
        <v>8.65377097407904</v>
      </c>
      <c r="E367" s="13" t="n">
        <f aca="false">LN(C367)</f>
        <v>8.65377097407904</v>
      </c>
      <c r="F367" s="13" t="n">
        <f aca="false">E367-D366</f>
        <v>0.0393077065288061</v>
      </c>
    </row>
    <row r="368" customFormat="false" ht="15" hidden="false" customHeight="false" outlineLevel="0" collapsed="false">
      <c r="B368" s="20" t="n">
        <f aca="false">B367+7</f>
        <v>43941</v>
      </c>
      <c r="C368" s="72" t="n">
        <v>5361.7798</v>
      </c>
      <c r="D368" s="13" t="n">
        <f aca="false">LN(C368)</f>
        <v>8.58705125118651</v>
      </c>
      <c r="E368" s="13" t="n">
        <f aca="false">LN(C368)</f>
        <v>8.58705125118651</v>
      </c>
      <c r="F368" s="13" t="n">
        <f aca="false">E368-D367</f>
        <v>-0.0667197228925254</v>
      </c>
    </row>
    <row r="369" customFormat="false" ht="15" hidden="false" customHeight="false" outlineLevel="0" collapsed="false">
      <c r="B369" s="20" t="n">
        <f aca="false">B368+7</f>
        <v>43948</v>
      </c>
      <c r="C369" s="72" t="n">
        <v>5544.29</v>
      </c>
      <c r="D369" s="13" t="n">
        <f aca="false">LN(C369)</f>
        <v>8.62052384830399</v>
      </c>
      <c r="E369" s="13" t="n">
        <f aca="false">LN(C369)</f>
        <v>8.62052384830399</v>
      </c>
      <c r="F369" s="13" t="n">
        <f aca="false">E369-D368</f>
        <v>0.0334725971174805</v>
      </c>
    </row>
    <row r="370" customFormat="false" ht="15" hidden="false" customHeight="false" outlineLevel="0" collapsed="false">
      <c r="B370" s="20" t="n">
        <f aca="false">B369+7</f>
        <v>43955</v>
      </c>
      <c r="C370" s="72" t="n">
        <v>5532.27</v>
      </c>
      <c r="D370" s="13" t="n">
        <f aca="false">LN(C370)</f>
        <v>8.61835349853506</v>
      </c>
      <c r="E370" s="13" t="n">
        <f aca="false">LN(C370)</f>
        <v>8.61835349853506</v>
      </c>
      <c r="F370" s="13" t="n">
        <f aca="false">E370-D369</f>
        <v>-0.00217034976892982</v>
      </c>
    </row>
    <row r="371" customFormat="false" ht="15" hidden="false" customHeight="false" outlineLevel="0" collapsed="false">
      <c r="B371" s="20" t="n">
        <f aca="false">B370+7</f>
        <v>43962</v>
      </c>
      <c r="C371" s="72" t="n">
        <v>5437.0898</v>
      </c>
      <c r="D371" s="13" t="n">
        <f aca="false">LN(C371)</f>
        <v>8.60099923347081</v>
      </c>
      <c r="E371" s="13" t="n">
        <f aca="false">LN(C371)</f>
        <v>8.60099923347081</v>
      </c>
      <c r="F371" s="13" t="n">
        <f aca="false">E371-D370</f>
        <v>-0.0173542650642524</v>
      </c>
    </row>
    <row r="372" customFormat="false" ht="15" hidden="false" customHeight="false" outlineLevel="0" collapsed="false">
      <c r="B372" s="20" t="n">
        <f aca="false">B371+7</f>
        <v>43969</v>
      </c>
      <c r="C372" s="72" t="n">
        <v>5540.4399</v>
      </c>
      <c r="D372" s="13" t="n">
        <f aca="false">LN(C372)</f>
        <v>8.6198291809211</v>
      </c>
      <c r="E372" s="13" t="n">
        <f aca="false">LN(C372)</f>
        <v>8.6198291809211</v>
      </c>
      <c r="F372" s="13" t="n">
        <f aca="false">E372-D371</f>
        <v>0.0188299474502944</v>
      </c>
    </row>
    <row r="373" customFormat="false" ht="15" hidden="false" customHeight="false" outlineLevel="0" collapsed="false">
      <c r="B373" s="20" t="n">
        <f aca="false">B372+7</f>
        <v>43976</v>
      </c>
      <c r="C373" s="72" t="n">
        <v>5946.52</v>
      </c>
      <c r="D373" s="13"/>
      <c r="E373" s="13" t="n">
        <f aca="false">LN(C373)</f>
        <v>8.69056145348461</v>
      </c>
      <c r="F373" s="13" t="n">
        <f aca="false">E373-D372</f>
        <v>0.0707322725635038</v>
      </c>
    </row>
  </sheetData>
  <mergeCells count="24">
    <mergeCell ref="B1:E1"/>
    <mergeCell ref="B2:D2"/>
    <mergeCell ref="C3:D3"/>
    <mergeCell ref="C4:D4"/>
    <mergeCell ref="B64:E64"/>
    <mergeCell ref="B65:D65"/>
    <mergeCell ref="C66:D66"/>
    <mergeCell ref="C67:D67"/>
    <mergeCell ref="B127:E127"/>
    <mergeCell ref="B128:D128"/>
    <mergeCell ref="C129:D129"/>
    <mergeCell ref="C130:D130"/>
    <mergeCell ref="B191:E191"/>
    <mergeCell ref="B192:D192"/>
    <mergeCell ref="C193:D193"/>
    <mergeCell ref="C194:D194"/>
    <mergeCell ref="B254:E254"/>
    <mergeCell ref="B255:D255"/>
    <mergeCell ref="C256:D256"/>
    <mergeCell ref="C257:D257"/>
    <mergeCell ref="B317:E317"/>
    <mergeCell ref="B318:D318"/>
    <mergeCell ref="C319:D319"/>
    <mergeCell ref="C320:D320"/>
  </mergeCells>
  <hyperlinks>
    <hyperlink ref="C8" r:id="rId1" display="https://www.tradingview.com/chart/CRSXnWRx/?symbol=PSE%3APRO"/>
    <hyperlink ref="C71" r:id="rId2" display="https://www.tradingview.com/chart/CRSXnWRx/?symbol=PH+MINING+AND+OIL"/>
    <hyperlink ref="C134" r:id="rId3" display=" https://www.tradingview.com/chart/CRSXnWRx/?symbol=PSE%3AIND"/>
    <hyperlink ref="C198" r:id="rId4" display="https://www.tradingview.com/chart/CRSXnWRx/?symbol=PSE%3AFIN"/>
    <hyperlink ref="C261" r:id="rId5" display="https://www.tradingview.com/chart/?symbol=PSE%3ASVC"/>
    <hyperlink ref="C324" r:id="rId6" display="https://www.tradingview.com/chart/CRSXnWRx/?symbol=PSE%3AHDG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2026-02-02T05:45:38Z</dcterms:created>
  <dc:creator/>
  <dc:description/>
  <dc:language>en-PH</dc:language>
  <cp:lastModifiedBy/>
  <dcterms:modified xsi:type="dcterms:W3CDTF">2026-03-18T23:19:16Z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